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7eb7729c7c3d6476/Desktop/davao-itinerary/data-pipeline/"/>
    </mc:Choice>
  </mc:AlternateContent>
  <xr:revisionPtr revIDLastSave="2" documentId="11_D4A9482C108612A6658D263AE3DD7953A15D2446" xr6:coauthVersionLast="47" xr6:coauthVersionMax="47" xr10:uidLastSave="{36C09B5C-771E-4B34-9C73-2B70FD8706A3}"/>
  <bookViews>
    <workbookView xWindow="-108" yWindow="-108" windowWidth="23256" windowHeight="12456" activeTab="1" xr2:uid="{00000000-000D-0000-FFFF-FFFF00000000}"/>
  </bookViews>
  <sheets>
    <sheet name="Summary" sheetId="1" r:id="rId1"/>
    <sheet name="Prices" sheetId="2" r:id="rId2"/>
  </sheets>
  <definedNames>
    <definedName name="_xlnm._FilterDatabase" localSheetId="1" hidden="1">Prices!$A$1:$Q$113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B12" i="1" s="1"/>
  <c r="B14" i="1" l="1"/>
  <c r="B13" i="1"/>
</calcChain>
</file>

<file path=xl/sharedStrings.xml><?xml version="1.0" encoding="utf-8"?>
<sst xmlns="http://schemas.openxmlformats.org/spreadsheetml/2006/main" count="1264" uniqueCount="443">
  <si>
    <t>#</t>
  </si>
  <si>
    <t>Venue</t>
  </si>
  <si>
    <t>Category</t>
  </si>
  <si>
    <t>Google type</t>
  </si>
  <si>
    <t>In N scenario pools</t>
  </si>
  <si>
    <t>Price basis</t>
  </si>
  <si>
    <t>Unit</t>
  </si>
  <si>
    <t>Old assumed price (PHP)</t>
  </si>
  <si>
    <t>REAL price (PHP)</t>
  </si>
  <si>
    <t>What the real price is</t>
  </si>
  <si>
    <t>Source (URL / call / visit)</t>
  </si>
  <si>
    <t>Date checked</t>
  </si>
  <si>
    <t>Within tolerance?</t>
  </si>
  <si>
    <t>Notes</t>
  </si>
  <si>
    <t>Google price range</t>
  </si>
  <si>
    <t>Maps link</t>
  </si>
  <si>
    <t>Origin</t>
  </si>
  <si>
    <t>Freedom Park</t>
  </si>
  <si>
    <t>Nature, Sightseeing</t>
  </si>
  <si>
    <t>city_park</t>
  </si>
  <si>
    <t>Free / not applicable</t>
  </si>
  <si>
    <t>per person</t>
  </si>
  <si>
    <t>Free (no charge)</t>
  </si>
  <si>
    <t>2026-10-29</t>
  </si>
  <si>
    <t>[from a davao local, high confidence] Some street vendors will sell around that area, and most of the items of interest should not exceed 50 pesos.</t>
  </si>
  <si>
    <t>Open in Maps</t>
  </si>
  <si>
    <t>Verify prices (reviewed)</t>
  </si>
  <si>
    <t>Osmeña Park</t>
  </si>
  <si>
    <t>https://www.tripadvisor.com.ph/Attraction_Review-g298459-d4371311-Reviews-Osmena_Park-Davao_City_Davao_del_Sur_Province_Mindanao.html</t>
  </si>
  <si>
    <t>[web lookup, medium confidence] Public park; TripAdvisor reviewers (2017, 2018) say no entrance fee; Airial listing also says generally free admission. No official statement found.</t>
  </si>
  <si>
    <t>Davao Butterfly House Inc.</t>
  </si>
  <si>
    <t>Entertainment, Sightseeing</t>
  </si>
  <si>
    <t>zoo</t>
  </si>
  <si>
    <t>Day pass / package</t>
  </si>
  <si>
    <t>Entrance fee</t>
  </si>
  <si>
    <t>https://vismin.ph/?p=5052</t>
  </si>
  <si>
    <t>[web lookup, low confidence] Undated blog: P350 covers Butterfly House, Tribu K'Mindanawan and Crocodile Park; Wanderlog says butterfly house may be closed/folded into Crocodile Park, confirm</t>
  </si>
  <si>
    <t>Macatabo Farm</t>
  </si>
  <si>
    <t>Food, Nature</t>
  </si>
  <si>
    <t>farm</t>
  </si>
  <si>
    <t>Admission</t>
  </si>
  <si>
    <t>https://www.facebook.com/macatabofarm/</t>
  </si>
  <si>
    <t>2026-10-30</t>
  </si>
  <si>
    <t>Linked farm page does not show a current visitor fee; PHP100 needs direct confirmation.</t>
  </si>
  <si>
    <t>OYASUMI Massage by: AC (Dacudao Branch)</t>
  </si>
  <si>
    <t>Wellness</t>
  </si>
  <si>
    <t>massage_spa</t>
  </si>
  <si>
    <t>1-hour service</t>
  </si>
  <si>
    <t>HeadSpa 60min</t>
  </si>
  <si>
    <t>https://www.facebook.com/DavaoFoodGuidePH/posts/japanese-style-headspa-and-massage-japanese-styie-using-products-from-japanoyasu/1567737724712087/</t>
  </si>
  <si>
    <t>Linked third-party promo states PHP530 for a 60-minute head spa; confirm current branch rate.</t>
  </si>
  <si>
    <t>Bemwa Farm</t>
  </si>
  <si>
    <t>Nature</t>
  </si>
  <si>
    <t>https://vismin.ph/2024/bemwa-farm-davao</t>
  </si>
  <si>
    <t>[web lookup, medium confidence] P50 adult day entrance (seniors/PWD P40, under 7 free); 2024 blog, Sunstar also says P50 (older)</t>
  </si>
  <si>
    <t>Bukid Amara Davao</t>
  </si>
  <si>
    <t>tourist_attraction</t>
  </si>
  <si>
    <t>Regular Day Pass</t>
  </si>
  <si>
    <t>https://bukidamara.com/events-patterns/</t>
  </si>
  <si>
    <t>Linked event page lacks a posted price; PHP150 entry is reported by third-party sources, so confirm the current rate.</t>
  </si>
  <si>
    <t>Green Mountain View</t>
  </si>
  <si>
    <t>park</t>
  </si>
  <si>
    <t>https://wanderlog.com/place/details/8130375/green-mountain-view</t>
  </si>
  <si>
    <t>[web lookup, low confidence] Aggregator conflicting: lists 'free admission' but tips say ~P35 entrance plus ~P20 toll; unverified</t>
  </si>
  <si>
    <t>Thai Boran - Catalunan Grande</t>
  </si>
  <si>
    <t>Thai Body Massage</t>
  </si>
  <si>
    <t>https://www.facebook.com/tbObrero/posts/%F0%9D%90%8F%F0%9D%90%AB%F0%9D%90%A2%F0%9D%90%9C%F0%9D%90%9E-%F0%9D%90%94%F0%9D%90%A9%F0%9D%90%9D%F0%9D%90%9A%F0%9D%90%AD%F0%9D%90%9E-%F0%9D%90%8D%F0%9D%90%A8%F0%9D%90%AD%F0%9D%90%A2%F0%9D%90%9C%F0%9D%90%9Eto-continue-providing-the-quality-thai-boran-davao-corp-exper/876856258608579/</t>
  </si>
  <si>
    <t>PHP500 Thai body massage is from the linked post, which appears to cover another Thai Boran branch; confirm Catalunan Grande pricing.</t>
  </si>
  <si>
    <t>Thai Royale Spa Davao City - Matina Branch</t>
  </si>
  <si>
    <t>1-hour Massage</t>
  </si>
  <si>
    <t>https://www.facebook.com/photo/?fbid=122162277398969021</t>
  </si>
  <si>
    <t>PHP499 one-hour massage is recorded from the linked Facebook post; verify its date and branch applicability.</t>
  </si>
  <si>
    <t>Honea Bee Farm</t>
  </si>
  <si>
    <t>Basic Bee Experiential Tour</t>
  </si>
  <si>
    <t>https://honeabeefarm.com/</t>
  </si>
  <si>
    <t>PHP300 basic bee experiential tour is recorded from the linked farm site; confirm whether current and separate from admission.</t>
  </si>
  <si>
    <t>Quezon Park</t>
  </si>
  <si>
    <t>JACA Mountain Peak</t>
  </si>
  <si>
    <t>https://www.facebook.com/JacaMountainPeak/</t>
  </si>
  <si>
    <t>PHP500 entrance fee is recorded from the linked Facebook page; no current tariff date is provided.</t>
  </si>
  <si>
    <t>Our Mother of Perpetual Help Parish - Redemptorist Church</t>
  </si>
  <si>
    <t>Culture, Sightseeing</t>
  </si>
  <si>
    <t>church</t>
  </si>
  <si>
    <t>Amiya Resort Residences Clubhouse</t>
  </si>
  <si>
    <t>Wellness, Accommodation</t>
  </si>
  <si>
    <t>resort_hotel</t>
  </si>
  <si>
    <t>per room-night</t>
  </si>
  <si>
    <t>Room rate per night</t>
  </si>
  <si>
    <t>https://www.tiktok.com/@kristine_cso/video/7434844601409621266</t>
  </si>
  <si>
    <t>[web lookup, medium confidence] TikTok staycation post (approx. Nov 2024, date inferred from video ID): Dutsani room PHP 5,000/night for 2 pax incl. breakfast, pool, gym, sauna, taxes; Tansanee room PHP 8,000 for 4 pax. Not re-verified on official channel.</t>
  </si>
  <si>
    <t>DGT Central Park</t>
  </si>
  <si>
    <t>[from a davao local, high confidence] The park itself is free for you to roam around, but there is a McDonalds and a coffee shop nearby. Your choice to spend or not</t>
  </si>
  <si>
    <t>Malagos Chocolate Museum</t>
  </si>
  <si>
    <t>Food</t>
  </si>
  <si>
    <t>chocolate_shop</t>
  </si>
  <si>
    <t>https://ahroundph.com/blog/2023/01/14/malagos-garden-resort/</t>
  </si>
  <si>
    <t>[web lookup, low confidence] Malagos Garden Resort weekday adult day-tour admission P250 (P300 weekends); no separate chocolate museum fee listed, museum is included in the admission. Blog dated Jan 2023; same P250/P300 also in 2018-2020 sources (zoytotheworld May 2020, Tripadvisor resort replies 2019). Chocolate molding extra P450/200g.</t>
  </si>
  <si>
    <t>Yasumi Head Spa Buhangin</t>
  </si>
  <si>
    <t>Dual Falls Aqua Head Spa (1hr)</t>
  </si>
  <si>
    <t>https://www.facebook.com/photo/?fbid=983579444714103</t>
  </si>
  <si>
    <t>[web lookup, medium confidence] Source refers to the Yasumi Head Spa general facebook page, might have branch-specific rates and service availability</t>
  </si>
  <si>
    <t>Cafe Demitasse</t>
  </si>
  <si>
    <t>restaurant</t>
  </si>
  <si>
    <t>1 meal</t>
  </si>
  <si>
    <t>One-person meal</t>
  </si>
  <si>
    <t>https://www.cafedemitasse.ph/</t>
  </si>
  <si>
    <t>Demitasse Corned Beef with Garlic Rice &amp; Egg</t>
  </si>
  <si>
    <t>PHP 1 - PHP 500</t>
  </si>
  <si>
    <t>Google-priced (meal)</t>
  </si>
  <si>
    <t>Bioessence Gold Marfori</t>
  </si>
  <si>
    <t>wellness_center</t>
  </si>
  <si>
    <t>combination massage</t>
  </si>
  <si>
    <t>https://www.bioessence.com.ph/</t>
  </si>
  <si>
    <t>[web lookup, high confidence] Combination massage</t>
  </si>
  <si>
    <t>ClaudMaru Rainforest</t>
  </si>
  <si>
    <t>https://www.facebook.com/photo/?fbid=1003998015497494</t>
  </si>
  <si>
    <t>[web lookup, high confidence] Facebook photo comment (Apr 2026) from the page itself. Inclusions: Entrance, 1 Plated Breakfast, Pools/Falls, Free Kubo (10+ pax)</t>
  </si>
  <si>
    <t>Davao Riverfront Crocodile Park &amp; Zoo</t>
  </si>
  <si>
    <t>https://ahroundph.com/blog/2023/01/14/crocodile-park/</t>
  </si>
  <si>
    <t>[web lookup, medium confidence] Blog (published Jan 2023, modified Jun 2025): PHP 350 for ages 3 and above; third-party, not official.</t>
  </si>
  <si>
    <t>De Stress Massage &amp; Spa Matina Pangi Davao branch</t>
  </si>
  <si>
    <t>1-hour Masssage</t>
  </si>
  <si>
    <t>https://www.facebook.com/photo.php?fbid=122186992574216104&amp;type=3</t>
  </si>
  <si>
    <t>[web lookup, low confidence] Linked Facebook page didn’t expose a current price; recorded PHP 250 for a one-hour massage remains unconfirmed.</t>
  </si>
  <si>
    <t>Deca wakeboard park davao city</t>
  </si>
  <si>
    <t>Entertainment</t>
  </si>
  <si>
    <t>water_park</t>
  </si>
  <si>
    <t>https://wayph.com/deca-wakeboard-park-tacunan-davao-city</t>
  </si>
  <si>
    <t>[web lookup, low confidence] Regular whole-day rate PHP 1,000 (half-day 700; Davao residents 700) incl. board/helmet/vest; article from 2013, likely outdated.</t>
  </si>
  <si>
    <t>NCCC Cinemas</t>
  </si>
  <si>
    <t>movie_theater</t>
  </si>
  <si>
    <t>https://cinemas.nccc.com.ph/</t>
  </si>
  <si>
    <t>[web lookup, medium confidence] Ranges from 270 php-350 php, online booking has an additional 30 php fee.</t>
  </si>
  <si>
    <t>People’s Park</t>
  </si>
  <si>
    <t>https://tourism.davaocity.gov.ph/?p=452</t>
  </si>
  <si>
    <t>[web lookup, high confidence] Davao City tourism page: entrance is free of charge.</t>
  </si>
  <si>
    <t>The Fountain Court</t>
  </si>
  <si>
    <t>fountain</t>
  </si>
  <si>
    <t>https://www.facebook.com/100066101233175/posts/look-vibrant-night-at-sm-lanang-premiere-davao-cityspanning-an-impressive-122-me/1049498337263531/</t>
  </si>
  <si>
    <t>[web lookup, medium confidence] Linked SM Lanang post promotes the attraction, but no separate admission price was visible; PHP 0 appears inferred, not a posted rate.</t>
  </si>
  <si>
    <t>Bible Baptist Church</t>
  </si>
  <si>
    <t>Culture</t>
  </si>
  <si>
    <t>https://www.facebook.com/bbcguerrerodavaocity/</t>
  </si>
  <si>
    <t>[web lookup, high confidence] No admission-fee information was visible on the linked church page; PHP 0 is not explicitly confirmed there.</t>
  </si>
  <si>
    <t>Christmas Mansion</t>
  </si>
  <si>
    <t>amusement_park</t>
  </si>
  <si>
    <t>https://www.sunstar.com.ph/more-articles/roseville-christmas-mansion-christmas-spirit-all-year-round</t>
  </si>
  <si>
    <t>[web lookup, low confidence] Roseville Christmas Mansion: P30 adult (P20 kids) per SunStar Nov 2016; outdated, current fee unconfirmed</t>
  </si>
  <si>
    <t>St. Francis of Assisi Parish</t>
  </si>
  <si>
    <t>Routine church visit/worship (no ticket)</t>
  </si>
  <si>
    <t>https://www.facebook.com/SFAPMAA/</t>
  </si>
  <si>
    <t>[web lookup, medium confidence] No ticketed fee for routine public worship/visit identified; parish page does not publish a visitor tariff. PHP0 excludes donations, services and special events.</t>
  </si>
  <si>
    <t>Upside Down House Museum Davao</t>
  </si>
  <si>
    <t>https://www.sunstar.com.ph/davao/feature/4-new-davao-places-worthy-of-visits</t>
  </si>
  <si>
    <t>[web lookup, low confidence] P250 standard (P150 kids, P200 PWD/senior) per SunStar Mar 2018; outdated</t>
  </si>
  <si>
    <t>Jollibee</t>
  </si>
  <si>
    <t>fast_food_restaurant</t>
  </si>
  <si>
    <t>https://jollibee-menu.com/</t>
  </si>
  <si>
    <t>Longganisa Solo</t>
  </si>
  <si>
    <t>Blind Massage Center</t>
  </si>
  <si>
    <t>1hr full body massage</t>
  </si>
  <si>
    <t>https://www.google.com/maps/place/Blind+Massage+Center/@7.0522745,125.5913929,21z/data=!4m6!3m5!1s0x32f97299c3feeb33:0x8046ff74fdc6e867!8m2!3d7.0522459!4d125.5915985!16s%2Fg%2F11cs0rw63p?entry=ttu&amp;g_ep=EgoyMDI2MTAyNy4wIKXMDSoASAFQAw%3D%3D</t>
  </si>
  <si>
    <t>[web lookup, high confidence] found in google maps photos</t>
  </si>
  <si>
    <t>Chinatown Arch</t>
  </si>
  <si>
    <t>historical_landmark</t>
  </si>
  <si>
    <t>https://en.wikipedia.org/wiki/Davao_Chinatown</t>
  </si>
  <si>
    <t>[web lookup, high confidence] Linked page describes Chinatown’s archways as district entry points but gives no admission price; no charge for public-street viewing is an inference.</t>
  </si>
  <si>
    <t>Faith Tabernacle Church - Metro Davao</t>
  </si>
  <si>
    <t>https://www.facebook.com/ftcmetrodavao.ph/</t>
  </si>
  <si>
    <t>[web lookup, medium confidence] No visitor-fee information was visible on the linked church page; PHP 0 is not explicitly confirmed there.</t>
  </si>
  <si>
    <t>NCCC Centerpoint</t>
  </si>
  <si>
    <t>Shopping</t>
  </si>
  <si>
    <t>shopping_mall</t>
  </si>
  <si>
    <t>https://www.facebook.com/NCCCCenterpoint/</t>
  </si>
  <si>
    <t>[web lookup, low confidence] Reviews from 3 years ago say that it is not a spacious mall and most people come here for groceries [decision: malls set to free; entry cost 0]</t>
  </si>
  <si>
    <t>Philippine-Japanese Historical Museum</t>
  </si>
  <si>
    <t>museum</t>
  </si>
  <si>
    <t>https://pia.gov.ph/features/imin-museum-remembering-the-near-forgotten-little-tokyo/</t>
  </si>
  <si>
    <t>[web lookup, medium confidence] PIA article lists admission at PHP 100 for adults, PHP 80 for seniors/PWDs, and PHP 50 for children; verify whether rates have changed.</t>
  </si>
  <si>
    <t>SM City Davao</t>
  </si>
  <si>
    <t>https://www.smsupermalls.com/mall-directory/sm-city-davao/information</t>
  </si>
  <si>
    <t>SM City Davao is a shopping mall with multiple tenants; personal spending depends on the shops, restaurants and items you choose. There is no single standard shopping price for a visitor. [decision: malls set to free; entry cost 0]</t>
  </si>
  <si>
    <t>San Pedro Metropolitan Cathedral</t>
  </si>
  <si>
    <t>https://www.sanpedrocathedral.com/</t>
  </si>
  <si>
    <t>[web lookup, high confidence] Linked official site welcomes visitors and lists service schedules, but doesn’t state an admission fee; PHP 0 isn’t a published rate on that page.</t>
  </si>
  <si>
    <t>The Church of Jesus Christ of Latter-day Saints</t>
  </si>
  <si>
    <t>https://local.churchofjesuschrist.org/en/ph/davao-city/cm-recto-corner-rizal-streets</t>
  </si>
  <si>
    <t>[web lookup, medium confidence]</t>
  </si>
  <si>
    <t>Waka Massage Palace</t>
  </si>
  <si>
    <t>1hr massage service</t>
  </si>
  <si>
    <t>https://www.facebook.com/photo/?fbid=1632170075592334&amp;set=pb.100063980706191.-2207520000</t>
  </si>
  <si>
    <t>[web lookup, high confidence]</t>
  </si>
  <si>
    <t>Yasumi Head Spa Matina</t>
  </si>
  <si>
    <t>Zoofari Kids Adventure - SM City Davao</t>
  </si>
  <si>
    <t>amusement_center</t>
  </si>
  <si>
    <t>Adult accompanying pass (1 adult, per hour)</t>
  </si>
  <si>
    <t>https://www.scribd.com/document/75536177/Zoofari-Brochure</t>
  </si>
  <si>
    <t>[web lookup, low confidence] Archived Zoofari brochure lists an adult nanny pass at PHP20/hour; old and may not match current SM City Davao operation. Confirm with venue before use.</t>
  </si>
  <si>
    <t>Davao Dencia's Restaurant</t>
  </si>
  <si>
    <t>https://www.facebook.com/share/p/1JKaneHkHo/</t>
  </si>
  <si>
    <t>Garlic Chicken</t>
  </si>
  <si>
    <t>Yellow Fin Seafood Restaurant</t>
  </si>
  <si>
    <t>seafood_restaurant</t>
  </si>
  <si>
    <t>https://www.facebook.com/share/p/1DR7bhxYzR/</t>
  </si>
  <si>
    <t>Yellowfin Tuna, 2025 rates</t>
  </si>
  <si>
    <t>PHP 1 - PHP 2000</t>
  </si>
  <si>
    <t>Botanical Garden</t>
  </si>
  <si>
    <t>https://davaoenaday.wordpress.com/2018/09/17/suroy-ta-marfori-botanical-garden/</t>
  </si>
  <si>
    <t>[web lookup, low confidence] Blog dated Sep 2018 says no fee to enter, free for the public; Wanderlog listing (undated aggregator) also shows 'Free admission'.</t>
  </si>
  <si>
    <t>Davao Central Seventh-day Adventist Church of Davao Mission</t>
  </si>
  <si>
    <t>Routine visitor/worship entry; no ticket</t>
  </si>
  <si>
    <t>https://www.facebook.com/p/Davao-Central-Seventh-day-Adventist-Church-of-Davao-Mission-61576242165845/</t>
  </si>
  <si>
    <t>[web lookup, medium confidence] Routine public visit/worship has no ticketed admission; voluntary donations and special-event charges are excluded. Confirm event-day access.</t>
  </si>
  <si>
    <t>Foursquare Gospel Church</t>
  </si>
  <si>
    <t>https://www.facebook.com/fgcdavao/</t>
  </si>
  <si>
    <t>Mintal Public Market</t>
  </si>
  <si>
    <t>market</t>
  </si>
  <si>
    <t>Variable stall purchase; no standard one-adult package</t>
  </si>
  <si>
    <t>[from a davao local] Mintal Public Market has independent stalls, so spending depends on the goods or meals you choose. There is no single market-wide price for a visitor's purchases.</t>
  </si>
  <si>
    <t>Rizal Park</t>
  </si>
  <si>
    <t>https://airial.travel/attractions/philippines/davao-city/rizal-park-davao-CY9OOhoC</t>
  </si>
  <si>
    <t>[web lookup, medium confidence] Public park; third-party page says generally no entrance fee</t>
  </si>
  <si>
    <t>Solaz Massage &amp; Spa - Ecoland</t>
  </si>
  <si>
    <t>Average spend per person</t>
  </si>
  <si>
    <t>https://whatisindavaocity.blogspot.com/2016/07/solaz-massge-and-spa.html</t>
  </si>
  <si>
    <t>[web lookup, low confidence] rates described are from a 2016 blog</t>
  </si>
  <si>
    <t>Thai Boran - Damosa</t>
  </si>
  <si>
    <t>https://www.tripadvisor.com.ph/Attraction_Review-g298459-d7745999-Reviews-Thai_Boran_Massage-Davao_City_Davao_del_Sur_Province_Mindanao.html</t>
  </si>
  <si>
    <t>[web lookup, medium confidence] Tripadvisor review dated 29 Jul 2026: 1-hour Swedish massage P450 (incl. foot wash and tea) at the Thai Boran Lanang (J.P. Laurel Ave) branch; same-brand rate, not Damosa-specific. Older reviews: P800 for 2h (Oct 2023).</t>
  </si>
  <si>
    <t>https://local.churchofjesuschrist.org/en/ph/davao-city/matina-crossing</t>
  </si>
  <si>
    <t>D'Morvie Suites</t>
  </si>
  <si>
    <t>Accommodation</t>
  </si>
  <si>
    <t>inn</t>
  </si>
  <si>
    <t>Night's stay</t>
  </si>
  <si>
    <t>https://davaoportal.com/business/d-morvie-suites-san-pedro-branch/</t>
  </si>
  <si>
    <t>[web lookup, low confidence] Davao Portal (undated): San Pedro branch double bed P600 per 24 hours (P300 per 12 hrs). Tripadvisor 2018 reviewer reported P500 for aircon room. OTAs showed no live rate; may be outdated.</t>
  </si>
  <si>
    <t>Davao Chinese Baptist Church</t>
  </si>
  <si>
    <t>https://www.facebook.com/DavaoChineseBaptistChurch/</t>
  </si>
  <si>
    <t>Davao Royal Suites and Residences</t>
  </si>
  <si>
    <t>hotel</t>
  </si>
  <si>
    <t>https://www.kayak.com.ph/Davao-City-Hotels-Davao-Royal-Suites-And-Residences.3806883.ksp</t>
  </si>
  <si>
    <t>[web lookup, low confidence] Kayak 2-week avg weeknight rate (weekend ~1,624; Agoda low 643); aggregator</t>
  </si>
  <si>
    <t>Felcris Centrale</t>
  </si>
  <si>
    <t>https://www.facebook.com/centraledavao/</t>
  </si>
  <si>
    <t>[web lookup, low confidence] Felcris Centrale brings together different shops and services; what you spend depends on the businesses and items you choose. A visit does not have one standard personal-spend amount. [decision: malls set to free; entry cost 0]</t>
  </si>
  <si>
    <t>Gap Farming Resort</t>
  </si>
  <si>
    <t>Nature, Accommodation</t>
  </si>
  <si>
    <t>https://www.facebook.com/reel/26228923066773241</t>
  </si>
  <si>
    <t>[web lookup, high confidence] Gate Entrance: ₱125 / person | Pool Entrance: ₱85 / person [decision: treated as a hotel; price is the room rate. Day entry (P125 gate + P85 pool) not used]</t>
  </si>
  <si>
    <t>Kwagsik Falls</t>
  </si>
  <si>
    <t>https://wanderlog.com/place/details/4456233/kwagsik-falls</t>
  </si>
  <si>
    <t>[web lookup, low confidence] Wanderlog lists PHP 50/person entrance (guide optional PHP 150); aggregator, undated</t>
  </si>
  <si>
    <t>Landers Superstore Davao</t>
  </si>
  <si>
    <t>store</t>
  </si>
  <si>
    <t>Membership Fee</t>
  </si>
  <si>
    <t>https://www.landers.ph/lofcustomermembership/buy</t>
  </si>
  <si>
    <t>[web lookup, high confidence] Landers membership is separate from in-store purchases. Your shopping total depends on the items in your basket; check Landers for current membership terms and fees.</t>
  </si>
  <si>
    <t>Lots for Less Maa Branch</t>
  </si>
  <si>
    <t>https://www.facebook.com/LotsForLessPH/</t>
  </si>
  <si>
    <t>[web lookup, medium confidence] Lots for Less Maa is a retail store, so personal spending depends on the products you select. There is no single standard purchase amount for a shopper. [decision: malls set to free; entry cost 0]</t>
  </si>
  <si>
    <t>Marco Polo</t>
  </si>
  <si>
    <t>Food, Accommodation</t>
  </si>
  <si>
    <t>https://hotel-marco-polo-davao.h-rez.com/</t>
  </si>
  <si>
    <t>[web lookup, low confidence] Aggregator 'rates from' PHP 3,618/night for deluxe room (undated). Kayak PH shows 'from' PHP 5,181 (undated), so range is wide; aggregator-only.</t>
  </si>
  <si>
    <t>Microtel by Wyndham Davao</t>
  </si>
  <si>
    <t>https://www.kayak.com.ph/Davao-City-Hotels-Microtel-by-Wyndham-Davao.186885.ksp</t>
  </si>
  <si>
    <t>[web lookup, low confidence] Kayak PH avg weeknight ~PHP 4,264 (weekend ~3,283; Hotels.com standard room listed 5,195); aggregator</t>
  </si>
  <si>
    <t>NCCC Mall Buhangin</t>
  </si>
  <si>
    <t>https://www.facebook.com/NCCCMallBuhangin/</t>
  </si>
  <si>
    <t>[web lookup, medium confidence] NCCC Mall Buhangin is a multi-tenant shopping destination; what you spend depends on the stores, food and items you choose. [decision: malls set to free; entry cost 0]</t>
  </si>
  <si>
    <t>NCCC Panacan</t>
  </si>
  <si>
    <t>https://www.facebook.com/ncccsupermarkets/</t>
  </si>
  <si>
    <t>[web lookup, medium confidence] NCCC Panacan is a supermarket that brings together multiple shops and services; your total depends on the businesses and products you choose. [decision: malls set to free; entry cost 0]</t>
  </si>
  <si>
    <t>National Museum of the Philippines - Davao</t>
  </si>
  <si>
    <t>https://www.sunstar.com.ph/davao/national-museum-in-davao-to-reopen-to-public-on-jan-11</t>
  </si>
  <si>
    <t>[web lookup, medium confidence] SunStar: admission continues to be free of charge</t>
  </si>
  <si>
    <t>Poblacion Market Central</t>
  </si>
  <si>
    <t>https://www.facebook.com/OfficialPoblacionMarketCentral/</t>
  </si>
  <si>
    <t>[web lookup, medium confidence] Poblacion Market Central brings together individual vendors and food options. What you spend depends on the stalls and items you choose; there is no market-wide fixed personal spend. [decision: malls set to free; entry cost 0]</t>
  </si>
  <si>
    <t>SM Lanang Premier</t>
  </si>
  <si>
    <t>https://www.smsupermalls.com/mall-directory/sm-lanang/information</t>
  </si>
  <si>
    <t>[web lookup, medium confidence] SM Lanang Premier is a shopping and dining destination with multiple tenants; personal spending varies with the stores, restaurants and items you choose. [decision: malls set to free; entry cost 0]</t>
  </si>
  <si>
    <t>Sunny Point Hotel</t>
  </si>
  <si>
    <t>https://www.kayak.com.ph/Davao-City-Hotels-Sunny-Point-Hotel.660895.ksp</t>
  </si>
  <si>
    <t>[web lookup, low confidence] Agoda standard room via Kayak PH incl. VAT, PHP 2,176 (avg weeknight ~2,167); aggregator</t>
  </si>
  <si>
    <t>The Commemorative Monument of Peace and Unity</t>
  </si>
  <si>
    <t>monument</t>
  </si>
  <si>
    <t>https://www.expedia.com/Monument-Of-Peace-And-Unity-Poblacion-District.d6115112.Vacation-Attraction</t>
  </si>
  <si>
    <t>[web lookup, medium confidence] Expedia attraction page says entry is free; open outdoor monument</t>
  </si>
  <si>
    <t>The Strand Suites and Dormitel</t>
  </si>
  <si>
    <t>https://www.kayak.com.ph/Davao-City-Hotels-The-Strand-Suites-and-Dormitel.3414359.ksp</t>
  </si>
  <si>
    <t>[web lookup, low confidence] Lowest listed standard twin room (Vio) PHP 1,299; other OTAs list ~2,591-2,611; aggregator</t>
  </si>
  <si>
    <t>Wisons Shopping Center</t>
  </si>
  <si>
    <t>https://wanderlog.com/place/details/13039214/wisons-shopping-center</t>
  </si>
  <si>
    <t>[web lookup, medium confidence] Wisons Shopping Center offers a range of retail options; your spending depends on the shops and products you choose. A visit has no single standard shopping price. [decision: malls set to free; entry cost 0]</t>
  </si>
  <si>
    <t>Asian Cow by Chef Patrick Co</t>
  </si>
  <si>
    <t>https://m.yelp.com/biz_photos/asian-cow-davao-city?select=GQqAt3dlrzrryWi1PA74Jg&amp;utm_campaign=www_photo_share_popup&amp;utm_medium=copy_link&amp;utm_source=%28direct%29</t>
  </si>
  <si>
    <t>Grilled Chicken Sambal, 2019 rates</t>
  </si>
  <si>
    <t>PHP 500 - PHP 1000</t>
  </si>
  <si>
    <t>Junex Tuna &amp; Seafood</t>
  </si>
  <si>
    <t>https://www.facebook.com/share/p/1DyJotxv6n/</t>
  </si>
  <si>
    <t>Chopsuey Guisado, 2023 rates</t>
  </si>
  <si>
    <t>Ta-Cow Davao</t>
  </si>
  <si>
    <t>filipino_restaurant</t>
  </si>
  <si>
    <t>https://thefatcowgroup.com/collections/ta-cow</t>
  </si>
  <si>
    <t>Chicken Adobo Flakes Rice</t>
  </si>
  <si>
    <t>Vista View Resto</t>
  </si>
  <si>
    <t>https://vista-view-resto.wheree.com/menu</t>
  </si>
  <si>
    <t>Sinigang Na Kambing, second latest image</t>
  </si>
  <si>
    <t>WYNWARD GARDEN BISTRO</t>
  </si>
  <si>
    <t>https://www.facebook.com/share/p/1EyEhXsjUz/</t>
  </si>
  <si>
    <t xml:space="preserve">Organic Native Chicken Adobo </t>
  </si>
  <si>
    <t>Cathedral of Praise - Davao</t>
  </si>
  <si>
    <t>https://www.facebook.com/cop.davao/</t>
  </si>
  <si>
    <t>Christ Fellowship Church</t>
  </si>
  <si>
    <t>https://www.facebook.com/cfcofdavao/</t>
  </si>
  <si>
    <t>Crocodile Park Picnic Grounds</t>
  </si>
  <si>
    <t>https://www.sunstar.com.ph/davao/opinion/valderrama-spending-a-weekend-at-davao-crocodile-park</t>
  </si>
  <si>
    <t>[web lookup, medium confidence] SunStar (Jul 2024) says picnic grounds are used for free; Crocodile Park attraction itself is separately ticketed (PHP 350 in 2022).</t>
  </si>
  <si>
    <t>D'Japanese Tunnel Family Resort and Restaurant</t>
  </si>
  <si>
    <t>https://www.expedia.com.ph/Davao-Hotels-DJapanese-Tunnel-Family-Resort.h14587797.Hotel-Information</t>
  </si>
  <si>
    <t>[web lookup, low confidence] Expedia PH lowest nightly price for 2 adults (Superior room, 1 double bed), Oct 31-Nov 1; aggregator, excl. taxes (PHP 1,547 with taxes).</t>
  </si>
  <si>
    <t>Davao Bamboo Sanctuary and Ecological Park</t>
  </si>
  <si>
    <t>https://www.davaoeagle.com/2018/02/bambu-davao-bamboo-sanctuary-ecological-park/</t>
  </si>
  <si>
    <t>[web lookup, low confidence] Queen Room P2,800/night incl. breakfast and spring pool use (Twin Premium 2,800; Twin Annex 2,500; Suite 5,200; Dorm 600 pp). Davao Eagle article from Feb 2018; undated Davao City Directory page lists identical rates. May be outdated.</t>
  </si>
  <si>
    <t>Gaisano Grand Citygate Mall Davao (GMALL)</t>
  </si>
  <si>
    <t>https://www.facebook.com/GaisanoGrandCitygateMall/</t>
  </si>
  <si>
    <t>[web lookup, medium confidence] Gaisano Grand Citygate Mall is a multi-store shopping destination; what you spend depends on your purchases and any services or food you choose. [decision: malls set to free; entry cost 0]</t>
  </si>
  <si>
    <t>Hotel Emilia</t>
  </si>
  <si>
    <t>https://www.trivago.com.ph/en-PH/oar/hotel-emilia-davao-city?search=100-2295372</t>
  </si>
  <si>
    <t>[web lookup, medium confidence] Trivago PH price calendar fetched 2026-10-29: most dates Nov-Dec 2026 P2,304-2,305/night (lowest from P2,169; peaks P2,417); room type not specified, assumed standard/lowest room. Booking.com shows USD 29 headline.</t>
  </si>
  <si>
    <t>Jack's Ridge</t>
  </si>
  <si>
    <t>https://www.jacksridgedavao.com/rates_regular_menu.php</t>
  </si>
  <si>
    <t>PHP450 is a representative per-person spend estimate based on the official itemized menu, not a fixed rate; the menu says prices may change and a 10% service charge applies. Official menu linked in N82.</t>
  </si>
  <si>
    <t>Museo Dabawenyo</t>
  </si>
  <si>
    <t>https://www.wheninmanila.com/museo-dabawenyo-what-to-see/</t>
  </si>
  <si>
    <t>[web lookup, medium confidence] Article (Jul 3, 2025) states admission is completely free.</t>
  </si>
  <si>
    <t>Pulang Bato Falls</t>
  </si>
  <si>
    <t>Sightseeing</t>
  </si>
  <si>
    <t>[from a davao local, high confidence] 2- hour walk from permitted parking lot, hiring a local tour guide is recommended for first-timers(PHP 300)</t>
  </si>
  <si>
    <t>Ramon Magsaysay Park</t>
  </si>
  <si>
    <t>https://www.vigattintourism.com/tourism/articles/Ramon-Magsaysay-Park-Davao-City</t>
  </si>
  <si>
    <t>[web lookup, medium confidence] Article says no entrance fee; open daily 5AM-9PM.</t>
  </si>
  <si>
    <t>Roxas Night Market</t>
  </si>
  <si>
    <t>Food, Shopping</t>
  </si>
  <si>
    <t>Rice meal (1 adult plate)</t>
  </si>
  <si>
    <t>https://www.roxasnightmarket.sbs/food/what-%E2%82%B1500-can-get-you-at-roxas-night-market/</t>
  </si>
  <si>
    <t>[web lookup, medium confidence] 2025 market guide lists rice meals at PHP50–100; used PHP90 for one adult plate. Vendors set prices independently; amount is a meal estimate, not a market entry fee.</t>
  </si>
  <si>
    <t>Shrine of the Holy Infant Jesus of Prague</t>
  </si>
  <si>
    <t>https://www.easybook.com/en-ph/tour/destination/philippines/davao/davao-city/holy-infant-jesus-of-prague-shrine</t>
  </si>
  <si>
    <t>[web lookup, medium confidence] Listing states entrance fee is free.</t>
  </si>
  <si>
    <t>Times Beach</t>
  </si>
  <si>
    <t>beach</t>
  </si>
  <si>
    <t>https://www.airial.travel/attractions/philippines/davao-city/times-beach-matina-aplaya-ZzeleKw3</t>
  </si>
  <si>
    <t>[web lookup, low confidence] Aggregator (Airial, 2025) states there is generally no entrance fee to Times Beach/Matina Aplaya; individual stalls/cottages charge their own rates. Undated official confirmation not found.</t>
  </si>
  <si>
    <t>Unitop</t>
  </si>
  <si>
    <t>department_store</t>
  </si>
  <si>
    <t>Variable one-adult purchase; no standard package</t>
  </si>
  <si>
    <t>https://www.facebook.com/unitop25/</t>
  </si>
  <si>
    <t>[web lookup, medium confidence] At Unitop, spending varies by the products you choose; there is no fixed one-person purchase or standard basket price for the store.</t>
  </si>
  <si>
    <t>Garden Bay Restaurant &amp; Resort</t>
  </si>
  <si>
    <t>family_restaurant</t>
  </si>
  <si>
    <t>https://www.facebook.com/share/p/1Kk3JZZyQm/</t>
  </si>
  <si>
    <t>Beef Caldereta</t>
  </si>
  <si>
    <t>PHP 1 - PHP 1000</t>
  </si>
  <si>
    <t>Italianni's Restaurant - Abreeza Mall</t>
  </si>
  <si>
    <t>italian_restaurant</t>
  </si>
  <si>
    <t>https://www.foodpanda.ph/restaurant/nr98/italiannis-midtown</t>
  </si>
  <si>
    <t>Half BBQ Ribs with Sauteed Vegetables and Rice</t>
  </si>
  <si>
    <t>Jollibee Davao Bolton</t>
  </si>
  <si>
    <t>https://www.foodpanda.ph/restaurant/p0nf/jollibee-davao-bolton-p0nf</t>
  </si>
  <si>
    <t>1-pc Chicken Joy w/ Jolly Spaghetti Solo</t>
  </si>
  <si>
    <t>Marinatuna Seafood Restaurant</t>
  </si>
  <si>
    <t>https://www.facebook.com/share/p/14uM2WLi2dV/</t>
  </si>
  <si>
    <t>Bihon Guisado</t>
  </si>
  <si>
    <t>The Swiss Deli &amp; Restaurant - Mamay</t>
  </si>
  <si>
    <t>swiss_restaurant</t>
  </si>
  <si>
    <t>https://www.facebook.com/theSwissDeli.dvo/posts/pfbid02TRRY2G1ZXZo3uQKYh1fDaKDa1X4rGSYfJrtUJmKxZpiGbJrUGEf1nZdYDeRMdxMil</t>
  </si>
  <si>
    <t>Fresh Whole Turkey</t>
  </si>
  <si>
    <t>Bankerohan Public Market</t>
  </si>
  <si>
    <t>farmers_market</t>
  </si>
  <si>
    <t>[from a davao local, high confidence] Bankerohan Public Market has independent stalls, so spending depends on the goods or meals you choose. There is no single market-wide price for a visitor's purchases.</t>
  </si>
  <si>
    <t>Davao Bible Community Church</t>
  </si>
  <si>
    <t>https://www.facebook.com/photo.php?fbid=1054630937418187&amp;type=3</t>
  </si>
  <si>
    <t>Davao Mission of Seventh-day Adventist Church</t>
  </si>
  <si>
    <t>Routine worship visit; no ticketed admission</t>
  </si>
  <si>
    <t>https://www.facebook.com/davaoadventists/</t>
  </si>
  <si>
    <t>PHP0 reflects routine public worship/visitor entry, not an explicitly published tariff; donations and special events excluded.</t>
  </si>
  <si>
    <t>Gaisano Grand Citimall Illustre</t>
  </si>
  <si>
    <t>https://www.facebook.com/grand.ilustre/</t>
  </si>
  <si>
    <t>No standard mall admission or purchase price; PHP0 represents entry only and excludes shopping spend. [decision: malls set to free; entry cost 0]</t>
  </si>
  <si>
    <t>Los Amigos Park</t>
  </si>
  <si>
    <t>https://davaocity.gov.ph/environment/los-amigos-park-opens-to-public/</t>
  </si>
  <si>
    <t>Public park entry recorded as PHP0; no separate fee is listed on the linked city page.</t>
  </si>
  <si>
    <t>Malagos Garden Resort</t>
  </si>
  <si>
    <t>[web lookup, low confidence] Deluxe Room (2 persons) P5,800/night per blog dated Jan 2023 (Honeymoon Suite 8,500; Executive Villa 10,000). Cross-check: Klook shows cheapest ~P5,281/night and Traveloka ~P4,702 (undated, aggregator). Official site lists no rates.</t>
  </si>
  <si>
    <t>Miso Thai Massage Spa</t>
  </si>
  <si>
    <t>https://www.hungryfoody.com/ph/miso-thai-massage-spa-davao-city/</t>
  </si>
  <si>
    <t>[web lookup, medium confidence] HungryFoody listing (updated 19 May 2026): 60-min Thai massage P250 (body/back/foot), Swedish P300. Using Thai 60-min figure. Manila Touch older listing (2017/2021) shows P450-800 for signature Thai massage.</t>
  </si>
  <si>
    <t>NCCC Main Magsaysay</t>
  </si>
  <si>
    <t>https://www.facebook.com/NCCCMainMagsaysay/</t>
  </si>
  <si>
    <t>Philippine Eagle Center</t>
  </si>
  <si>
    <t>non_profit_organization</t>
  </si>
  <si>
    <t>https://vismin.ph/?p=24923</t>
  </si>
  <si>
    <t>[web lookup, low confidence] Undated blog says 150 PHP per adult; older source (philippinetraveler, updated 2022) said 50 PHP; verify</t>
  </si>
  <si>
    <t>Red Planet Davao</t>
  </si>
  <si>
    <t>https://www.kayak.com.ph/Davao-City-Hotels-Red-Planet-Davao.2043844.ksp</t>
  </si>
  <si>
    <t>[web lookup, low confidence] Kayak 2-week weeknight average 1725 PHP (weekend 1753); aggregator</t>
  </si>
  <si>
    <t>The Annex at SM City Davao</t>
  </si>
  <si>
    <t>https://wanderlog.com/place/details/1841666/the-annex-at-sm-city-davao</t>
  </si>
  <si>
    <t>The Bourke</t>
  </si>
  <si>
    <t>https://www.expedia.com.ph/Davao-Hotels-The-Bourke-Hotel.h24996518.Hotel-Information</t>
  </si>
  <si>
    <t>[web lookup, medium confidence] Expedia PH lowest nightly rate for 2 adults, 29-30 Oct 2026: PHP 4,995 (PHP 5,594 with taxes/fees); room type not specified (Deluxe/Premier available). Trip.com average from PHP 5,014. Reflects a single-date quote; may vary.</t>
  </si>
  <si>
    <t>Lachi's</t>
  </si>
  <si>
    <t>meal_takeaway</t>
  </si>
  <si>
    <t>https://www.reddit.com/r/davao/comments/1kl5jsb/is_lachis_still_good/</t>
  </si>
  <si>
    <t>Asian Spicy Chicken</t>
  </si>
  <si>
    <t>PHP 1000 - PHP 1500</t>
  </si>
  <si>
    <t>Made Simple</t>
  </si>
  <si>
    <t>european_restaurant</t>
  </si>
  <si>
    <t>https://maps.app.goo.gl/33NAQVSAhBUYSd9M6</t>
  </si>
  <si>
    <t>Banana Caramel</t>
  </si>
  <si>
    <t>TGI Friday's - Abreeza Mall</t>
  </si>
  <si>
    <t>american_restaurant</t>
  </si>
  <si>
    <t>https://www.fridays.com.ph/frontend/tgif-ph-complete-menu.pdf</t>
  </si>
  <si>
    <t>Fridays Signature Salmon</t>
  </si>
  <si>
    <t>PHP 500 - PHP 2500</t>
  </si>
  <si>
    <t>Price standards used (column "Price basis")</t>
  </si>
  <si>
    <t>1 hour of service</t>
  </si>
  <si>
    <t>Attractions / nature</t>
  </si>
  <si>
    <t>Adult price to enter and do the main activity once. Admission fee if one is sold; day pass / package if only that is sold (rule of thumb: above PHP 100 = day pass)</t>
  </si>
  <si>
    <t>Admission fee</t>
  </si>
  <si>
    <t>Lodging</t>
  </si>
  <si>
    <t>One night's stay (standard room, per room)</t>
  </si>
  <si>
    <t>Price of one meal per person</t>
  </si>
  <si>
    <t>Malls / markets / churches</t>
  </si>
  <si>
    <t>Free (PHP 0) - no entry cost; spending is not modelled</t>
  </si>
  <si>
    <t>Results (auto-calculated)</t>
  </si>
  <si>
    <t>Venues in sheet</t>
  </si>
  <si>
    <t>Venues with a real price</t>
  </si>
  <si>
    <t>Within tolerance (+/-50% or PHP 50)</t>
  </si>
  <si>
    <t>Match rate</t>
  </si>
  <si>
    <t>Mean absolute error vs old assumed (PHP)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</si>
</sst>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Kwagsik%20Falls%20Davao%20City&amp;query_place_id=ChIJSaQEB3Qr-TIRHJjj7_SSRdI" TargetMode="External"/><Relationship Id="rId21" Type="http://schemas.openxmlformats.org/officeDocument/2006/relationships/hyperlink" Target="https://www.google.com/maps/search/?api=1&amp;query=Honea%20Bee%20Farm%20Davao%20City&amp;query_place_id=ChIJzyp7kOsJ-TIRbkHlL02VTBA" TargetMode="External"/><Relationship Id="rId42" Type="http://schemas.openxmlformats.org/officeDocument/2006/relationships/hyperlink" Target="https://ahroundph.com/blog/2023/01/14/crocodile-park/" TargetMode="External"/><Relationship Id="rId63" Type="http://schemas.openxmlformats.org/officeDocument/2006/relationships/hyperlink" Target="https://www.google.com/maps/search/?api=1&amp;query=Jollibee%20Davao%20City&amp;query_place_id=ChIJd8BKX1kN-TIRr85B3LRcBXg" TargetMode="External"/><Relationship Id="rId84" Type="http://schemas.openxmlformats.org/officeDocument/2006/relationships/hyperlink" Target="https://www.scribd.com/document/75536177/Zoofari-Brochure" TargetMode="External"/><Relationship Id="rId138" Type="http://schemas.openxmlformats.org/officeDocument/2006/relationships/hyperlink" Target="https://www.expedia.com/Monument-Of-Peace-And-Unity-Poblacion-District.d6115112.Vacation-Attraction" TargetMode="External"/><Relationship Id="rId159" Type="http://schemas.openxmlformats.org/officeDocument/2006/relationships/hyperlink" Target="https://www.google.com/maps/search/?api=1&amp;query=Crocodile%20Park%20Picnic%20Grounds%20Davao%20City&amp;query_place_id=ChIJLVgAqKRt-TIR5b5on97n1JQ" TargetMode="External"/><Relationship Id="rId170" Type="http://schemas.openxmlformats.org/officeDocument/2006/relationships/hyperlink" Target="https://www.wheninmanila.com/museo-dabawenyo-what-to-see/" TargetMode="External"/><Relationship Id="rId191" Type="http://schemas.openxmlformats.org/officeDocument/2006/relationships/hyperlink" Target="https://www.google.com/maps/search/?api=1&amp;query=Marinatuna%20Seafood%20Restaurant%20Davao%20City&amp;query_place_id=ChIJXWLn2k1t-TIRmM31aYllUX8" TargetMode="External"/><Relationship Id="rId205" Type="http://schemas.openxmlformats.org/officeDocument/2006/relationships/hyperlink" Target="https://www.google.com/maps/search/?api=1&amp;query=Malagos%20Garden%20Resort%20Davao%20City&amp;query_place_id=ChIJVVVVVVUR-TIR0EkZ5Mt-GRM" TargetMode="External"/><Relationship Id="rId107" Type="http://schemas.openxmlformats.org/officeDocument/2006/relationships/hyperlink" Target="https://www.google.com/maps/search/?api=1&amp;query=D%27Morvie%20Suites%20Davao%20City&amp;query_place_id=ChIJXye5q3Bt-TIRYaYUWa6dlPw" TargetMode="External"/><Relationship Id="rId11" Type="http://schemas.openxmlformats.org/officeDocument/2006/relationships/hyperlink" Target="https://www.google.com/maps/search/?api=1&amp;query=Bemwa%20Farm%20Davao%20City&amp;query_place_id=ChIJBYYQzawr-TIRaIoN4pfpGhA" TargetMode="External"/><Relationship Id="rId32" Type="http://schemas.openxmlformats.org/officeDocument/2006/relationships/hyperlink" Target="https://ahroundph.com/blog/2023/01/14/malagos-garden-resort/" TargetMode="External"/><Relationship Id="rId53" Type="http://schemas.openxmlformats.org/officeDocument/2006/relationships/hyperlink" Target="https://www.google.com/maps/search/?api=1&amp;query=The%20Fountain%20Court%20Davao%20City&amp;query_place_id=ChIJi3l-MEps-TIRjUxJeAJzFsI" TargetMode="External"/><Relationship Id="rId74" Type="http://schemas.openxmlformats.org/officeDocument/2006/relationships/hyperlink" Target="https://www.smsupermalls.com/mall-directory/sm-city-davao/information" TargetMode="External"/><Relationship Id="rId128" Type="http://schemas.openxmlformats.org/officeDocument/2006/relationships/hyperlink" Target="https://www.facebook.com/ncccsupermarkets/" TargetMode="External"/><Relationship Id="rId149" Type="http://schemas.openxmlformats.org/officeDocument/2006/relationships/hyperlink" Target="https://www.google.com/maps/search/?api=1&amp;query=Ta-Cow%20Davao%20Davao%20City&amp;query_place_id=ChIJ8bChomNt-TIRmCWLu1JwtZI" TargetMode="External"/><Relationship Id="rId5" Type="http://schemas.openxmlformats.org/officeDocument/2006/relationships/hyperlink" Target="https://www.google.com/maps/search/?api=1&amp;query=Davao%20Butterfly%20House%20Inc.%20Davao%20City&amp;query_place_id=ChIJGe4kR6Ft-TIR3cN0fxkmm_8" TargetMode="External"/><Relationship Id="rId95" Type="http://schemas.openxmlformats.org/officeDocument/2006/relationships/hyperlink" Target="https://www.google.com/maps/search/?api=1&amp;query=Foursquare%20Gospel%20Church%20Davao%20City&amp;query_place_id=ChIJqT75D3Rt-TIRDUGTEHoPSdc" TargetMode="External"/><Relationship Id="rId160" Type="http://schemas.openxmlformats.org/officeDocument/2006/relationships/hyperlink" Target="https://www.expedia.com.ph/Davao-Hotels-DJapanese-Tunnel-Family-Resort.h14587797.Hotel-Information" TargetMode="External"/><Relationship Id="rId181" Type="http://schemas.openxmlformats.org/officeDocument/2006/relationships/hyperlink" Target="https://www.google.com/maps/search/?api=1&amp;query=Times%20Beach%20Davao%20City&amp;query_place_id=ChIJn6XY7pRy-TIRViH6QmiTr_o" TargetMode="External"/><Relationship Id="rId216" Type="http://schemas.openxmlformats.org/officeDocument/2006/relationships/hyperlink" Target="https://www.expedia.com.ph/Davao-Hotels-The-Bourke-Hotel.h24996518.Hotel-Information" TargetMode="External"/><Relationship Id="rId22" Type="http://schemas.openxmlformats.org/officeDocument/2006/relationships/hyperlink" Target="https://honeabeefarm.com/" TargetMode="External"/><Relationship Id="rId43" Type="http://schemas.openxmlformats.org/officeDocument/2006/relationships/hyperlink" Target="https://www.google.com/maps/search/?api=1&amp;query=Davao%20Riverfront%20Crocodile%20Park%20%26%20Zoo%20Davao%20City&amp;query_place_id=ChIJ0xrnLf1s-TIRG7bBbtynfa4" TargetMode="External"/><Relationship Id="rId64" Type="http://schemas.openxmlformats.org/officeDocument/2006/relationships/hyperlink" Target="https://www.google.com/maps/place/Blind+Massage+Center/@7.0522745,125.5913929,21z/data=!4m6!3m5!1s0x32f97299c3feeb33:0x8046ff74fdc6e867!8m2!3d7.0522459!4d125.5915985!16s%2Fg%2F11cs0rw63p?entry=ttu&amp;g_ep=EgoyMDI2MTAyNy4wIKXMDSoASAFQAw%3D%3D" TargetMode="External"/><Relationship Id="rId118" Type="http://schemas.openxmlformats.org/officeDocument/2006/relationships/hyperlink" Target="https://www.landers.ph/lofcustomermembership/buy" TargetMode="External"/><Relationship Id="rId139" Type="http://schemas.openxmlformats.org/officeDocument/2006/relationships/hyperlink" Target="https://www.google.com/maps/search/?api=1&amp;query=The%20Commemorative%20Monument%20of%20Peace%20and%20Unity%20Davao%20City&amp;query_place_id=ChIJbf_go3ht-TIRO69DiDqNgsc" TargetMode="External"/><Relationship Id="rId85" Type="http://schemas.openxmlformats.org/officeDocument/2006/relationships/hyperlink" Target="https://www.google.com/maps/search/?api=1&amp;query=Zoofari%20Kids%20Adventure%20-%20SM%20City%20Davao%20Davao%20City&amp;query_place_id=ChIJh_40xZdy-TIRr3xDguWHtkU" TargetMode="External"/><Relationship Id="rId150" Type="http://schemas.openxmlformats.org/officeDocument/2006/relationships/hyperlink" Target="https://vista-view-resto.wheree.com/menu" TargetMode="External"/><Relationship Id="rId171" Type="http://schemas.openxmlformats.org/officeDocument/2006/relationships/hyperlink" Target="https://www.google.com/maps/search/?api=1&amp;query=Museo%20Dabawenyo%20Davao%20City&amp;query_place_id=ChIJMetRV39t-TIRl7THE0AwKBg" TargetMode="External"/><Relationship Id="rId192" Type="http://schemas.openxmlformats.org/officeDocument/2006/relationships/hyperlink" Target="https://www.facebook.com/theSwissDeli.dvo/posts/pfbid02TRRY2G1ZXZo3uQKYh1fDaKDa1X4rGSYfJrtUJmKxZpiGbJrUGEf1nZdYDeRMdxMil" TargetMode="External"/><Relationship Id="rId206" Type="http://schemas.openxmlformats.org/officeDocument/2006/relationships/hyperlink" Target="https://www.hungryfoody.com/ph/miso-thai-massage-spa-davao-city/" TargetMode="External"/><Relationship Id="rId12" Type="http://schemas.openxmlformats.org/officeDocument/2006/relationships/hyperlink" Target="https://bukidamara.com/events-patterns/" TargetMode="External"/><Relationship Id="rId33" Type="http://schemas.openxmlformats.org/officeDocument/2006/relationships/hyperlink" Target="https://www.google.com/maps/search/?api=1&amp;query=Malagos%20Chocolate%20Museum%20Davao%20City&amp;query_place_id=ChIJAa5cGq4X-TIRWHkP8Bu3hYo" TargetMode="External"/><Relationship Id="rId108" Type="http://schemas.openxmlformats.org/officeDocument/2006/relationships/hyperlink" Target="https://www.facebook.com/DavaoChineseBaptistChurch/" TargetMode="External"/><Relationship Id="rId129" Type="http://schemas.openxmlformats.org/officeDocument/2006/relationships/hyperlink" Target="https://www.google.com/maps/search/?api=1&amp;query=NCCC%20Panacan%20Davao%20City&amp;query_place_id=ChIJzdIGkF1p-TIRWETF76dkNaM" TargetMode="External"/><Relationship Id="rId54" Type="http://schemas.openxmlformats.org/officeDocument/2006/relationships/hyperlink" Target="https://www.facebook.com/bbcguerrerodavaocity/" TargetMode="External"/><Relationship Id="rId75" Type="http://schemas.openxmlformats.org/officeDocument/2006/relationships/hyperlink" Target="https://www.google.com/maps/search/?api=1&amp;query=SM%20City%20Davao%20Davao%20City&amp;query_place_id=ChIJIXMxOoZz-TIRzSaCsk22DVo" TargetMode="External"/><Relationship Id="rId96" Type="http://schemas.openxmlformats.org/officeDocument/2006/relationships/hyperlink" Target="https://www.facebook.com/fgcdavao/" TargetMode="External"/><Relationship Id="rId140" Type="http://schemas.openxmlformats.org/officeDocument/2006/relationships/hyperlink" Target="https://www.kayak.com.ph/Davao-City-Hotels-The-Strand-Suites-and-Dormitel.3414359.ksp" TargetMode="External"/><Relationship Id="rId161" Type="http://schemas.openxmlformats.org/officeDocument/2006/relationships/hyperlink" Target="https://www.google.com/maps/search/?api=1&amp;query=D%27Japanese%20Tunnel%20Family%20Resort%20and%20Restaurant%20Davao%20City&amp;query_place_id=ChIJGSAECasS-TIRb9gKKKM6Mlg" TargetMode="External"/><Relationship Id="rId182" Type="http://schemas.openxmlformats.org/officeDocument/2006/relationships/hyperlink" Target="https://www.facebook.com/unitop25/" TargetMode="External"/><Relationship Id="rId217" Type="http://schemas.openxmlformats.org/officeDocument/2006/relationships/hyperlink" Target="https://www.google.com/maps/search/?api=1&amp;query=The%20Bourke%20Davao%20City&amp;query_place_id=ChIJ4XGZ2nlt-TIREUVe3RgV2WE" TargetMode="External"/><Relationship Id="rId6" Type="http://schemas.openxmlformats.org/officeDocument/2006/relationships/hyperlink" Target="https://www.facebook.com/macatabofarm/" TargetMode="External"/><Relationship Id="rId23" Type="http://schemas.openxmlformats.org/officeDocument/2006/relationships/hyperlink" Target="https://www.google.com/maps/search/?api=1&amp;query=Quezon%20Park%20Davao%20City&amp;query_place_id=ChIJaxTz7Hht-TIRhobRXvVF8lM" TargetMode="External"/><Relationship Id="rId119" Type="http://schemas.openxmlformats.org/officeDocument/2006/relationships/hyperlink" Target="https://www.google.com/maps/search/?api=1&amp;query=Landers%20Superstore%20Davao%20Davao%20City&amp;query_place_id=ChIJTXJWqI9t-TIRH-sdETo2e-8" TargetMode="External"/><Relationship Id="rId44" Type="http://schemas.openxmlformats.org/officeDocument/2006/relationships/hyperlink" Target="https://www.facebook.com/photo.php?fbid=122186992574216104&amp;type=3" TargetMode="External"/><Relationship Id="rId65" Type="http://schemas.openxmlformats.org/officeDocument/2006/relationships/hyperlink" Target="https://www.google.com/maps/search/?api=1&amp;query=Blind%20Massage%20Center%20Davao%20City&amp;query_place_id=ChIJAQB4VTgM-TIRpmb5M14-1V8" TargetMode="External"/><Relationship Id="rId86" Type="http://schemas.openxmlformats.org/officeDocument/2006/relationships/hyperlink" Target="https://www.facebook.com/share/p/1JKaneHkHo/" TargetMode="External"/><Relationship Id="rId130" Type="http://schemas.openxmlformats.org/officeDocument/2006/relationships/hyperlink" Target="https://www.sunstar.com.ph/davao/national-museum-in-davao-to-reopen-to-public-on-jan-11" TargetMode="External"/><Relationship Id="rId151" Type="http://schemas.openxmlformats.org/officeDocument/2006/relationships/hyperlink" Target="https://www.google.com/maps/search/?api=1&amp;query=Vista%20View%20Resto%20Davao%20City&amp;query_place_id=ChIJJyaufCxt-TIR7IH_rrfXbDg" TargetMode="External"/><Relationship Id="rId172" Type="http://schemas.openxmlformats.org/officeDocument/2006/relationships/hyperlink" Target="https://www.wheninmanila.com/museo-dabawenyo-what-to-see/" TargetMode="External"/><Relationship Id="rId193" Type="http://schemas.openxmlformats.org/officeDocument/2006/relationships/hyperlink" Target="https://www.google.com/maps/search/?api=1&amp;query=The%20Swiss%20Deli%20%26%20Restaurant%20-%20Mamay%20Davao%20City&amp;query_place_id=ChIJu_ZZlDds-TIR7R6lDW1vXrw" TargetMode="External"/><Relationship Id="rId207" Type="http://schemas.openxmlformats.org/officeDocument/2006/relationships/hyperlink" Target="https://www.google.com/maps/search/?api=1&amp;query=Miso%20Thai%20Massage%20Spa%20Davao%20City&amp;query_place_id=ChIJ9xLfZ6dt-TIRnR1R2qW69Ek" TargetMode="External"/><Relationship Id="rId13" Type="http://schemas.openxmlformats.org/officeDocument/2006/relationships/hyperlink" Target="https://www.google.com/maps/search/?api=1&amp;query=Bukid%20Amara%20Davao%20Davao%20City&amp;query_place_id=ChIJ_RrIGQAN-TIRUyaYrYbUT94" TargetMode="External"/><Relationship Id="rId109" Type="http://schemas.openxmlformats.org/officeDocument/2006/relationships/hyperlink" Target="https://www.google.com/maps/search/?api=1&amp;query=Davao%20Chinese%20Baptist%20Church%20Davao%20City&amp;query_place_id=ChIJuVxXIKJt-TIRRtRyuUciOQc" TargetMode="External"/><Relationship Id="rId34" Type="http://schemas.openxmlformats.org/officeDocument/2006/relationships/hyperlink" Target="https://www.facebook.com/photo/?fbid=983579444714103" TargetMode="External"/><Relationship Id="rId55" Type="http://schemas.openxmlformats.org/officeDocument/2006/relationships/hyperlink" Target="https://www.google.com/maps/search/?api=1&amp;query=Bible%20Baptist%20Church%20Davao%20City&amp;query_place_id=ChIJs27KaJlt-TIRdROospuFrYU" TargetMode="External"/><Relationship Id="rId76" Type="http://schemas.openxmlformats.org/officeDocument/2006/relationships/hyperlink" Target="https://www.sanpedrocathedral.com/" TargetMode="External"/><Relationship Id="rId97" Type="http://schemas.openxmlformats.org/officeDocument/2006/relationships/hyperlink" Target="https://www.google.com/maps/search/?api=1&amp;query=Mintal%20Public%20Market%20Davao%20City&amp;query_place_id=ChIJI0O3a0cS-TIRT5p7LnZPGCs" TargetMode="External"/><Relationship Id="rId120" Type="http://schemas.openxmlformats.org/officeDocument/2006/relationships/hyperlink" Target="https://www.facebook.com/LotsForLessPH/" TargetMode="External"/><Relationship Id="rId141" Type="http://schemas.openxmlformats.org/officeDocument/2006/relationships/hyperlink" Target="https://www.google.com/maps/search/?api=1&amp;query=The%20Strand%20Suites%20and%20Dormitel%20Davao%20City&amp;query_place_id=ChIJPcQE9adt-TIRdZn6eS0NgKc" TargetMode="External"/><Relationship Id="rId7" Type="http://schemas.openxmlformats.org/officeDocument/2006/relationships/hyperlink" Target="https://www.google.com/maps/search/?api=1&amp;query=Macatabo%20Farm%20Davao%20City&amp;query_place_id=ChIJ3V_ISHsb-TIRgoquLpIQyTE" TargetMode="External"/><Relationship Id="rId162" Type="http://schemas.openxmlformats.org/officeDocument/2006/relationships/hyperlink" Target="https://www.davaoeagle.com/2018/02/bambu-davao-bamboo-sanctuary-ecological-park/" TargetMode="External"/><Relationship Id="rId183" Type="http://schemas.openxmlformats.org/officeDocument/2006/relationships/hyperlink" Target="https://www.google.com/maps/search/?api=1&amp;query=Unitop%20Davao%20City&amp;query_place_id=ChIJE2thjnht-TIR7Lga8n4mawc" TargetMode="External"/><Relationship Id="rId218" Type="http://schemas.openxmlformats.org/officeDocument/2006/relationships/hyperlink" Target="https://www.reddit.com/r/davao/comments/1kl5jsb/is_lachis_still_good/" TargetMode="External"/><Relationship Id="rId24" Type="http://schemas.openxmlformats.org/officeDocument/2006/relationships/hyperlink" Target="https://www.facebook.com/JacaMountainPeak/" TargetMode="External"/><Relationship Id="rId45" Type="http://schemas.openxmlformats.org/officeDocument/2006/relationships/hyperlink" Target="https://www.google.com/maps/search/?api=1&amp;query=De%20Stress%20Massage%20%26%20Spa%20Matina%20Pangi%20Davao%20branch%20Davao%20City&amp;query_place_id=ChIJU_QqeYBt-TIRToIr_O-s_1E" TargetMode="External"/><Relationship Id="rId66" Type="http://schemas.openxmlformats.org/officeDocument/2006/relationships/hyperlink" Target="https://en.wikipedia.org/wiki/Davao_Chinatown" TargetMode="External"/><Relationship Id="rId87" Type="http://schemas.openxmlformats.org/officeDocument/2006/relationships/hyperlink" Target="https://www.google.com/maps/search/?api=1&amp;query=Davao%20Dencia%27s%20Restaurant%20Davao%20City&amp;query_place_id=ChIJ6Xhpp3dt-TIRpTWfKdRe7bc" TargetMode="External"/><Relationship Id="rId110" Type="http://schemas.openxmlformats.org/officeDocument/2006/relationships/hyperlink" Target="https://www.kayak.com.ph/Davao-City-Hotels-Davao-Royal-Suites-And-Residences.3806883.ksp" TargetMode="External"/><Relationship Id="rId131" Type="http://schemas.openxmlformats.org/officeDocument/2006/relationships/hyperlink" Target="https://www.google.com/maps/search/?api=1&amp;query=National%20Museum%20of%20the%20Philippines%20-%20Davao%20Davao%20City&amp;query_place_id=ChIJq5RWCQBt-TIROICJqqioetc" TargetMode="External"/><Relationship Id="rId152" Type="http://schemas.openxmlformats.org/officeDocument/2006/relationships/hyperlink" Target="https://www.facebook.com/share/p/1EyEhXsjUz/" TargetMode="External"/><Relationship Id="rId173" Type="http://schemas.openxmlformats.org/officeDocument/2006/relationships/hyperlink" Target="https://www.google.com/maps/search/?api=1&amp;query=Pulang%20Bato%20Falls%20Davao%20City&amp;query_place_id=ChIJ90cC-W4b-TIRW0OsLGi_9Sk" TargetMode="External"/><Relationship Id="rId194" Type="http://schemas.openxmlformats.org/officeDocument/2006/relationships/hyperlink" Target="https://www.facebook.com/unitop25/" TargetMode="External"/><Relationship Id="rId208" Type="http://schemas.openxmlformats.org/officeDocument/2006/relationships/hyperlink" Target="https://www.facebook.com/NCCCMainMagsaysay/" TargetMode="External"/><Relationship Id="rId14" Type="http://schemas.openxmlformats.org/officeDocument/2006/relationships/hyperlink" Target="https://wanderlog.com/place/details/8130375/green-mountain-view" TargetMode="External"/><Relationship Id="rId35" Type="http://schemas.openxmlformats.org/officeDocument/2006/relationships/hyperlink" Target="https://www.google.com/maps/search/?api=1&amp;query=Yasumi%20Head%20Spa%20Buhangin%20Davao%20City&amp;query_place_id=ChIJ62EDggBt-TIRmEw14SCxe5g" TargetMode="External"/><Relationship Id="rId56" Type="http://schemas.openxmlformats.org/officeDocument/2006/relationships/hyperlink" Target="https://www.sunstar.com.ph/more-articles/roseville-christmas-mansion-christmas-spirit-all-year-round" TargetMode="External"/><Relationship Id="rId77" Type="http://schemas.openxmlformats.org/officeDocument/2006/relationships/hyperlink" Target="https://www.google.com/maps/search/?api=1&amp;query=San%20Pedro%20Metropolitan%20Cathedral%20Davao%20City&amp;query_place_id=ChIJD5DSsoNt-TIRStAgRhNGg8k" TargetMode="External"/><Relationship Id="rId100" Type="http://schemas.openxmlformats.org/officeDocument/2006/relationships/hyperlink" Target="https://whatisindavaocity.blogspot.com/2016/07/solaz-massge-and-spa.html" TargetMode="External"/><Relationship Id="rId8" Type="http://schemas.openxmlformats.org/officeDocument/2006/relationships/hyperlink" Target="https://www.facebook.com/DavaoFoodGuidePH/posts/japanese-style-headspa-and-massage-japanese-styie-using-products-from-japanoyasu/1567737724712087/" TargetMode="External"/><Relationship Id="rId51" Type="http://schemas.openxmlformats.org/officeDocument/2006/relationships/hyperlink" Target="https://www.google.com/maps/search/?api=1&amp;query=People%E2%80%99s%20Park%20Davao%20City&amp;query_place_id=ChIJf7hQMHZt-TIRGg4U2az0c6M" TargetMode="External"/><Relationship Id="rId72" Type="http://schemas.openxmlformats.org/officeDocument/2006/relationships/hyperlink" Target="https://pia.gov.ph/features/imin-museum-remembering-the-near-forgotten-little-tokyo/" TargetMode="External"/><Relationship Id="rId93" Type="http://schemas.openxmlformats.org/officeDocument/2006/relationships/hyperlink" Target="https://www.google.com/maps/search/?api=1&amp;query=Davao%20Central%20Seventh-day%20Adventist%20Church%20of%20Davao%20Mission%20Davao%20City&amp;query_place_id=ChIJpfTKaXZt-TIRRQ2zhV7Z4FI" TargetMode="External"/><Relationship Id="rId98" Type="http://schemas.openxmlformats.org/officeDocument/2006/relationships/hyperlink" Target="https://airial.travel/attractions/philippines/davao-city/rizal-park-davao-CY9OOhoC" TargetMode="External"/><Relationship Id="rId121" Type="http://schemas.openxmlformats.org/officeDocument/2006/relationships/hyperlink" Target="https://www.google.com/maps/search/?api=1&amp;query=Lots%20for%20Less%20Maa%20Branch%20Davao%20City&amp;query_place_id=ChIJ3fEWz2lt-TIRY6-7wNOqaXE" TargetMode="External"/><Relationship Id="rId142" Type="http://schemas.openxmlformats.org/officeDocument/2006/relationships/hyperlink" Target="https://wanderlog.com/place/details/13039214/wisons-shopping-center" TargetMode="External"/><Relationship Id="rId163" Type="http://schemas.openxmlformats.org/officeDocument/2006/relationships/hyperlink" Target="https://www.google.com/maps/search/?api=1&amp;query=Davao%20Bamboo%20Sanctuary%20and%20Ecological%20Park%20Davao%20City&amp;query_place_id=ChIJ6zgv_hQX-TIRTi_BetVxpNY" TargetMode="External"/><Relationship Id="rId184" Type="http://schemas.openxmlformats.org/officeDocument/2006/relationships/hyperlink" Target="https://www.facebook.com/share/p/1Kk3JZZyQm/" TargetMode="External"/><Relationship Id="rId189" Type="http://schemas.openxmlformats.org/officeDocument/2006/relationships/hyperlink" Target="https://www.google.com/maps/search/?api=1&amp;query=Jollibee%20Davao%20Bolton%20Davao%20City&amp;query_place_id=ChIJtbg9eXht-TIRaOP_n9_37R0" TargetMode="External"/><Relationship Id="rId219" Type="http://schemas.openxmlformats.org/officeDocument/2006/relationships/hyperlink" Target="https://www.google.com/maps/search/?api=1&amp;query=Lachi%27s%20Davao%20City&amp;query_place_id=ChIJ1wyQLQxt-TIRPZYA6R1LpvM" TargetMode="External"/><Relationship Id="rId3" Type="http://schemas.openxmlformats.org/officeDocument/2006/relationships/hyperlink" Target="https://www.google.com/maps/search/?api=1&amp;query=Osme%C3%B1a%20Park%20Davao%20City&amp;query_place_id=ChIJOU2cq3ht-TIRTcj-ga4ruFc" TargetMode="External"/><Relationship Id="rId214" Type="http://schemas.openxmlformats.org/officeDocument/2006/relationships/hyperlink" Target="https://wanderlog.com/place/details/1841666/the-annex-at-sm-city-davao" TargetMode="External"/><Relationship Id="rId25" Type="http://schemas.openxmlformats.org/officeDocument/2006/relationships/hyperlink" Target="https://www.google.com/maps/search/?api=1&amp;query=JACA%20Mountain%20Peak%20Davao%20City&amp;query_place_id=ChIJsZpQzocp-TIRRbKhJu-QLY0" TargetMode="External"/><Relationship Id="rId46" Type="http://schemas.openxmlformats.org/officeDocument/2006/relationships/hyperlink" Target="https://wayph.com/deca-wakeboard-park-tacunan-davao-city" TargetMode="External"/><Relationship Id="rId67" Type="http://schemas.openxmlformats.org/officeDocument/2006/relationships/hyperlink" Target="https://www.google.com/maps/search/?api=1&amp;query=Chinatown%20Arch%20Davao%20City&amp;query_place_id=ChIJbwfsapZt-TIRgDZM9muZOjA" TargetMode="External"/><Relationship Id="rId116" Type="http://schemas.openxmlformats.org/officeDocument/2006/relationships/hyperlink" Target="https://wanderlog.com/place/details/4456233/kwagsik-falls" TargetMode="External"/><Relationship Id="rId137" Type="http://schemas.openxmlformats.org/officeDocument/2006/relationships/hyperlink" Target="https://www.google.com/maps/search/?api=1&amp;query=Sunny%20Point%20Hotel%20Davao%20City&amp;query_place_id=ChIJwwLF8iZt-TIRV0zbIYLFNnY" TargetMode="External"/><Relationship Id="rId158" Type="http://schemas.openxmlformats.org/officeDocument/2006/relationships/hyperlink" Target="https://www.sunstar.com.ph/davao/opinion/valderrama-spending-a-weekend-at-davao-crocodile-park" TargetMode="External"/><Relationship Id="rId20" Type="http://schemas.openxmlformats.org/officeDocument/2006/relationships/hyperlink" Target="https://honeabeefarm.com/" TargetMode="External"/><Relationship Id="rId41" Type="http://schemas.openxmlformats.org/officeDocument/2006/relationships/hyperlink" Target="https://www.google.com/maps/search/?api=1&amp;query=ClaudMaru%20Rainforest%20Davao%20City&amp;query_place_id=ChIJRXpRhRgp-TIRzP5cLbkiE7Q" TargetMode="External"/><Relationship Id="rId62" Type="http://schemas.openxmlformats.org/officeDocument/2006/relationships/hyperlink" Target="https://jollibee-menu.com/" TargetMode="External"/><Relationship Id="rId83" Type="http://schemas.openxmlformats.org/officeDocument/2006/relationships/hyperlink" Target="https://www.google.com/maps/search/?api=1&amp;query=Yasumi%20Head%20Spa%20Matina%20Davao%20City&amp;query_place_id=ChIJ7RjfNN5z-TIRQwj6l6nBrz8" TargetMode="External"/><Relationship Id="rId88" Type="http://schemas.openxmlformats.org/officeDocument/2006/relationships/hyperlink" Target="https://www.facebook.com/share/p/1DR7bhxYzR/" TargetMode="External"/><Relationship Id="rId111" Type="http://schemas.openxmlformats.org/officeDocument/2006/relationships/hyperlink" Target="https://www.google.com/maps/search/?api=1&amp;query=Davao%20Royal%20Suites%20and%20Residences%20Davao%20City&amp;query_place_id=ChIJ92YHcoJt-TIRcAY3YoYXzb8" TargetMode="External"/><Relationship Id="rId132" Type="http://schemas.openxmlformats.org/officeDocument/2006/relationships/hyperlink" Target="https://www.facebook.com/OfficialPoblacionMarketCentral/" TargetMode="External"/><Relationship Id="rId153" Type="http://schemas.openxmlformats.org/officeDocument/2006/relationships/hyperlink" Target="https://www.google.com/maps/search/?api=1&amp;query=WYNWARD%20GARDEN%20BISTRO%20Davao%20City&amp;query_place_id=ChIJWegL26tt-TIRkvxQvSLLpeM" TargetMode="External"/><Relationship Id="rId174" Type="http://schemas.openxmlformats.org/officeDocument/2006/relationships/hyperlink" Target="https://www.vigattintourism.com/tourism/articles/Ramon-Magsaysay-Park-Davao-City" TargetMode="External"/><Relationship Id="rId179" Type="http://schemas.openxmlformats.org/officeDocument/2006/relationships/hyperlink" Target="https://www.google.com/maps/search/?api=1&amp;query=Shrine%20of%20the%20Holy%20Infant%20Jesus%20of%20Prague%20Davao%20City&amp;query_place_id=ChIJF1LDh1lt-TIRIqT_cmafcMc" TargetMode="External"/><Relationship Id="rId195" Type="http://schemas.openxmlformats.org/officeDocument/2006/relationships/hyperlink" Target="https://www.google.com/maps/search/?api=1&amp;query=Bankerohan%20Public%20Market%20Davao%20City&amp;query_place_id=ChIJcdU-eHBt-TIR61dFotXLJrM" TargetMode="External"/><Relationship Id="rId209" Type="http://schemas.openxmlformats.org/officeDocument/2006/relationships/hyperlink" Target="https://www.google.com/maps/search/?api=1&amp;query=NCCC%20Main%20Magsaysay%20Davao%20City&amp;query_place_id=ChIJG-GQ7Jdt-TIRLrxuIjVkel8" TargetMode="External"/><Relationship Id="rId190" Type="http://schemas.openxmlformats.org/officeDocument/2006/relationships/hyperlink" Target="https://www.facebook.com/share/p/14uM2WLi2dV/" TargetMode="External"/><Relationship Id="rId204" Type="http://schemas.openxmlformats.org/officeDocument/2006/relationships/hyperlink" Target="https://ahroundph.com/blog/2023/01/14/malagos-garden-resort/" TargetMode="External"/><Relationship Id="rId220" Type="http://schemas.openxmlformats.org/officeDocument/2006/relationships/hyperlink" Target="https://maps.app.goo.gl/33NAQVSAhBUYSd9M6" TargetMode="External"/><Relationship Id="rId15" Type="http://schemas.openxmlformats.org/officeDocument/2006/relationships/hyperlink" Target="https://www.google.com/maps/search/?api=1&amp;query=Green%20Mountain%20View%20Davao%20City&amp;query_place_id=ChIJRYDqDV4T-TIR1uKtCQLOCR0" TargetMode="External"/><Relationship Id="rId36" Type="http://schemas.openxmlformats.org/officeDocument/2006/relationships/hyperlink" Target="https://www.cafedemitasse.ph/" TargetMode="External"/><Relationship Id="rId57" Type="http://schemas.openxmlformats.org/officeDocument/2006/relationships/hyperlink" Target="https://www.google.com/maps/search/?api=1&amp;query=Christmas%20Mansion%20Davao%20City&amp;query_place_id=ChIJLUq6MUBs-TIRNX1nd43_ZMo" TargetMode="External"/><Relationship Id="rId106" Type="http://schemas.openxmlformats.org/officeDocument/2006/relationships/hyperlink" Target="https://davaoportal.com/business/d-morvie-suites-san-pedro-branch/" TargetMode="External"/><Relationship Id="rId127" Type="http://schemas.openxmlformats.org/officeDocument/2006/relationships/hyperlink" Target="https://www.google.com/maps/search/?api=1&amp;query=NCCC%20Mall%20Buhangin%20Davao%20City&amp;query_place_id=ChIJN7ZquNBt-TIRDoPII7BE7JU" TargetMode="External"/><Relationship Id="rId10" Type="http://schemas.openxmlformats.org/officeDocument/2006/relationships/hyperlink" Target="https://vismin.ph/2024/bemwa-farm-davao" TargetMode="External"/><Relationship Id="rId31" Type="http://schemas.openxmlformats.org/officeDocument/2006/relationships/hyperlink" Target="https://www.google.com/maps/search/?api=1&amp;query=DGT%20Central%20Park%20Davao%20City&amp;query_place_id=ChIJx13AKQBz-TIRK51C7WfGx9Q" TargetMode="External"/><Relationship Id="rId52" Type="http://schemas.openxmlformats.org/officeDocument/2006/relationships/hyperlink" Target="https://www.facebook.com/100066101233175/posts/look-vibrant-night-at-sm-lanang-premiere-davao-cityspanning-an-impressive-122-me/1049498337263531/" TargetMode="External"/><Relationship Id="rId73" Type="http://schemas.openxmlformats.org/officeDocument/2006/relationships/hyperlink" Target="https://www.google.com/maps/search/?api=1&amp;query=Philippine-Japanese%20Historical%20Museum%20Davao%20City&amp;query_place_id=ChIJ1c7oP2YW-TIRm36SiS4PXKY" TargetMode="External"/><Relationship Id="rId78" Type="http://schemas.openxmlformats.org/officeDocument/2006/relationships/hyperlink" Target="https://local.churchofjesuschrist.org/en/ph/davao-city/cm-recto-corner-rizal-streets" TargetMode="External"/><Relationship Id="rId94" Type="http://schemas.openxmlformats.org/officeDocument/2006/relationships/hyperlink" Target="https://www.facebook.com/fgcdavao/" TargetMode="External"/><Relationship Id="rId99" Type="http://schemas.openxmlformats.org/officeDocument/2006/relationships/hyperlink" Target="https://www.google.com/maps/search/?api=1&amp;query=Rizal%20Park%20Davao%20City&amp;query_place_id=ChIJw-iIuHht-TIRuHD9GFv9LVA" TargetMode="External"/><Relationship Id="rId101" Type="http://schemas.openxmlformats.org/officeDocument/2006/relationships/hyperlink" Target="https://www.google.com/maps/search/?api=1&amp;query=Solaz%20Massage%20%26%20Spa%20-%20Ecoland%20Davao%20City&amp;query_place_id=ChIJo2Dk_ZZy-TIR_ghgIcUdI9A" TargetMode="External"/><Relationship Id="rId122" Type="http://schemas.openxmlformats.org/officeDocument/2006/relationships/hyperlink" Target="https://hotel-marco-polo-davao.h-rez.com/" TargetMode="External"/><Relationship Id="rId143" Type="http://schemas.openxmlformats.org/officeDocument/2006/relationships/hyperlink" Target="https://www.google.com/maps/search/?api=1&amp;query=Wisons%20Shopping%20Center%20Davao%20City&amp;query_place_id=ChIJW1JPCXlt-TIRrFo2ykGV99s" TargetMode="External"/><Relationship Id="rId148" Type="http://schemas.openxmlformats.org/officeDocument/2006/relationships/hyperlink" Target="https://thefatcowgroup.com/collections/ta-cow" TargetMode="External"/><Relationship Id="rId164" Type="http://schemas.openxmlformats.org/officeDocument/2006/relationships/hyperlink" Target="https://www.facebook.com/GaisanoGrandCitygateMall/" TargetMode="External"/><Relationship Id="rId169" Type="http://schemas.openxmlformats.org/officeDocument/2006/relationships/hyperlink" Target="https://www.google.com/maps/search/?api=1&amp;query=Jack%27s%20Ridge%20Davao%20City&amp;query_place_id=ChIJmVKqCVxt-TIROsQL0glR6Ng" TargetMode="External"/><Relationship Id="rId185" Type="http://schemas.openxmlformats.org/officeDocument/2006/relationships/hyperlink" Target="https://www.google.com/maps/search/?api=1&amp;query=Garden%20Bay%20Restaurant%20%26%20Resort%20Davao%20City&amp;query_place_id=ChIJN26rayBs-TIRa5-Aj6ufARE" TargetMode="External"/><Relationship Id="rId4" Type="http://schemas.openxmlformats.org/officeDocument/2006/relationships/hyperlink" Target="https://vismin.ph/?p=5052" TargetMode="External"/><Relationship Id="rId9" Type="http://schemas.openxmlformats.org/officeDocument/2006/relationships/hyperlink" Target="https://www.google.com/maps/search/?api=1&amp;query=OYASUMI%20Massage%20by%3A%20AC%20%28Dacudao%20Branch%29%20Davao%20City&amp;query_place_id=ChIJS7C_kEBt-TIRagQgb9t_C_E" TargetMode="External"/><Relationship Id="rId180" Type="http://schemas.openxmlformats.org/officeDocument/2006/relationships/hyperlink" Target="https://www.airial.travel/attractions/philippines/davao-city/times-beach-matina-aplaya-ZzeleKw3" TargetMode="External"/><Relationship Id="rId210" Type="http://schemas.openxmlformats.org/officeDocument/2006/relationships/hyperlink" Target="https://vismin.ph/?p=24923" TargetMode="External"/><Relationship Id="rId215" Type="http://schemas.openxmlformats.org/officeDocument/2006/relationships/hyperlink" Target="https://www.google.com/maps/search/?api=1&amp;query=The%20Annex%20at%20SM%20City%20Davao%20Davao%20City&amp;query_place_id=ChIJFa3Bu5dy-TIRkCUFXzpYaQY" TargetMode="External"/><Relationship Id="rId26" Type="http://schemas.openxmlformats.org/officeDocument/2006/relationships/hyperlink" Target="https://www.facebook.com/JacaMountainPeak/" TargetMode="External"/><Relationship Id="rId47" Type="http://schemas.openxmlformats.org/officeDocument/2006/relationships/hyperlink" Target="https://www.google.com/maps/search/?api=1&amp;query=Deca%20wakeboard%20park%20davao%20city%20Davao%20City&amp;query_place_id=ChIJhYQnU2sT-TIRnn9yxaPxQxE" TargetMode="External"/><Relationship Id="rId68" Type="http://schemas.openxmlformats.org/officeDocument/2006/relationships/hyperlink" Target="https://www.facebook.com/ftcmetrodavao.ph/" TargetMode="External"/><Relationship Id="rId89" Type="http://schemas.openxmlformats.org/officeDocument/2006/relationships/hyperlink" Target="https://www.google.com/maps/search/?api=1&amp;query=Yellow%20Fin%20Seafood%20Restaurant%20Davao%20City&amp;query_place_id=ChIJVVVVVVUR-TIRkuyUU_got4U" TargetMode="External"/><Relationship Id="rId112" Type="http://schemas.openxmlformats.org/officeDocument/2006/relationships/hyperlink" Target="https://www.facebook.com/centraledavao/" TargetMode="External"/><Relationship Id="rId133" Type="http://schemas.openxmlformats.org/officeDocument/2006/relationships/hyperlink" Target="https://www.google.com/maps/search/?api=1&amp;query=Poblacion%20Market%20Central%20Davao%20City&amp;query_place_id=ChIJM6ZCFMVt-TIRBCewNJvfxX8" TargetMode="External"/><Relationship Id="rId154" Type="http://schemas.openxmlformats.org/officeDocument/2006/relationships/hyperlink" Target="https://www.facebook.com/cop.davao/" TargetMode="External"/><Relationship Id="rId175" Type="http://schemas.openxmlformats.org/officeDocument/2006/relationships/hyperlink" Target="https://www.google.com/maps/search/?api=1&amp;query=Ramon%20Magsaysay%20Park%20Davao%20City&amp;query_place_id=ChIJndIvC5Zt-TIR7F7cqFLMdP0" TargetMode="External"/><Relationship Id="rId196" Type="http://schemas.openxmlformats.org/officeDocument/2006/relationships/hyperlink" Target="https://www.facebook.com/photo.php?fbid=1054630937418187&amp;type=3" TargetMode="External"/><Relationship Id="rId200" Type="http://schemas.openxmlformats.org/officeDocument/2006/relationships/hyperlink" Target="https://www.facebook.com/grand.ilustre/" TargetMode="External"/><Relationship Id="rId16" Type="http://schemas.openxmlformats.org/officeDocument/2006/relationships/hyperlink" Target="https://www.facebook.com/tbObrero/posts/%F0%9D%90%8F%F0%9D%90%AB%F0%9D%90%A2%F0%9D%90%9C%F0%9D%90%9E-%F0%9D%90%94%F0%9D%90%A9%F0%9D%90%9D%F0%9D%90%9A%F0%9D%90%AD%F0%9D%90%9E-%F0%9D%90%8D%F0%9D%90%A8%F0%9D%90%AD%F0%9D%90%A2%F0%9D%90%9C%F0%9D%90%9Eto-continue-providing-the-quality-thai-boran-davao-corp-exper/876856258608579/" TargetMode="External"/><Relationship Id="rId221" Type="http://schemas.openxmlformats.org/officeDocument/2006/relationships/hyperlink" Target="https://www.google.com/maps/search/?api=1&amp;query=Made%20Simple%20Davao%20City&amp;query_place_id=ChIJCwGF1URz-TIRFADwKUGTL3M" TargetMode="External"/><Relationship Id="rId37" Type="http://schemas.openxmlformats.org/officeDocument/2006/relationships/hyperlink" Target="https://www.google.com/maps/search/?api=1&amp;query=Cafe%20Demitasse%20Davao%20City&amp;query_place_id=ChIJ5zlCrnRt-TIRLtU6AtseLtI" TargetMode="External"/><Relationship Id="rId58" Type="http://schemas.openxmlformats.org/officeDocument/2006/relationships/hyperlink" Target="https://www.facebook.com/SFAPMAA/" TargetMode="External"/><Relationship Id="rId79" Type="http://schemas.openxmlformats.org/officeDocument/2006/relationships/hyperlink" Target="https://www.google.com/maps/search/?api=1&amp;query=The%20Church%20of%20Jesus%20Christ%20of%20Latter-day%20Saints%20Davao%20City&amp;query_place_id=ChIJR2j38oJt-TIR_CyxqgYmMNk" TargetMode="External"/><Relationship Id="rId102" Type="http://schemas.openxmlformats.org/officeDocument/2006/relationships/hyperlink" Target="https://www.tripadvisor.com.ph/Attraction_Review-g298459-d7745999-Reviews-Thai_Boran_Massage-Davao_City_Davao_del_Sur_Province_Mindanao.html" TargetMode="External"/><Relationship Id="rId123" Type="http://schemas.openxmlformats.org/officeDocument/2006/relationships/hyperlink" Target="https://www.google.com/maps/search/?api=1&amp;query=Marco%20Polo%20Davao%20City&amp;query_place_id=ChIJae3w251t-TIRDDXIoEGIVRc" TargetMode="External"/><Relationship Id="rId144" Type="http://schemas.openxmlformats.org/officeDocument/2006/relationships/hyperlink" Target="https://m.yelp.com/biz_photos/asian-cow-davao-city?select=GQqAt3dlrzrryWi1PA74Jg&amp;utm_campaign=www_photo_share_popup&amp;utm_medium=copy_link&amp;utm_source=%28direct%29" TargetMode="External"/><Relationship Id="rId90" Type="http://schemas.openxmlformats.org/officeDocument/2006/relationships/hyperlink" Target="https://davaoenaday.wordpress.com/2018/09/17/suroy-ta-marfori-botanical-garden/" TargetMode="External"/><Relationship Id="rId165" Type="http://schemas.openxmlformats.org/officeDocument/2006/relationships/hyperlink" Target="https://www.google.com/maps/search/?api=1&amp;query=Gaisano%20Grand%20Citygate%20Mall%20Davao%20%28GMALL%29%20Davao%20City&amp;query_place_id=ChIJB0PRfqNr-TIRyMFPJCA9B08" TargetMode="External"/><Relationship Id="rId186" Type="http://schemas.openxmlformats.org/officeDocument/2006/relationships/hyperlink" Target="https://www.foodpanda.ph/restaurant/nr98/italiannis-midtown" TargetMode="External"/><Relationship Id="rId211" Type="http://schemas.openxmlformats.org/officeDocument/2006/relationships/hyperlink" Target="https://www.google.com/maps/search/?api=1&amp;query=Philippine%20Eagle%20Center%20Davao%20City&amp;query_place_id=ChIJsVlo7aAX-TIRAjBUK3kIOEg" TargetMode="External"/><Relationship Id="rId27" Type="http://schemas.openxmlformats.org/officeDocument/2006/relationships/hyperlink" Target="https://www.google.com/maps/search/?api=1&amp;query=Our%20Mother%20of%20Perpetual%20Help%20Parish%20-%20Redemptorist%20Church%20Davao%20City&amp;query_place_id=ChIJZSj5Lzps-TIRG9FPQN62t6M" TargetMode="External"/><Relationship Id="rId48" Type="http://schemas.openxmlformats.org/officeDocument/2006/relationships/hyperlink" Target="https://cinemas.nccc.com.ph/" TargetMode="External"/><Relationship Id="rId69" Type="http://schemas.openxmlformats.org/officeDocument/2006/relationships/hyperlink" Target="https://www.google.com/maps/search/?api=1&amp;query=Faith%20Tabernacle%20Church%20-%20Metro%20Davao%20Davao%20City&amp;query_place_id=ChIJKY5qzJxt-TIRnhJ0Rgdx62s" TargetMode="External"/><Relationship Id="rId113" Type="http://schemas.openxmlformats.org/officeDocument/2006/relationships/hyperlink" Target="https://www.google.com/maps/search/?api=1&amp;query=Felcris%20Centrale%20Davao%20City&amp;query_place_id=ChIJDdS9wpdy-TIRzaxwi8SNeeU" TargetMode="External"/><Relationship Id="rId134" Type="http://schemas.openxmlformats.org/officeDocument/2006/relationships/hyperlink" Target="https://www.smsupermalls.com/mall-directory/sm-lanang/information" TargetMode="External"/><Relationship Id="rId80" Type="http://schemas.openxmlformats.org/officeDocument/2006/relationships/hyperlink" Target="https://www.facebook.com/photo/?fbid=1632170075592334&amp;set=pb.100063980706191.-2207520000" TargetMode="External"/><Relationship Id="rId155" Type="http://schemas.openxmlformats.org/officeDocument/2006/relationships/hyperlink" Target="https://www.google.com/maps/search/?api=1&amp;query=Cathedral%20of%20Praise%20-%20Davao%20Davao%20City&amp;query_place_id=ChIJyxJbWnRt-TIRPyQ4KzupKX8" TargetMode="External"/><Relationship Id="rId176" Type="http://schemas.openxmlformats.org/officeDocument/2006/relationships/hyperlink" Target="https://www.roxasnightmarket.sbs/food/what-%E2%82%B1500-can-get-you-at-roxas-night-market/" TargetMode="External"/><Relationship Id="rId197" Type="http://schemas.openxmlformats.org/officeDocument/2006/relationships/hyperlink" Target="https://www.google.com/maps/search/?api=1&amp;query=Davao%20Bible%20Community%20Church%20Davao%20City&amp;query_place_id=ChIJF3QI63Rt-TIRSUWhw9UQVrw" TargetMode="External"/><Relationship Id="rId201" Type="http://schemas.openxmlformats.org/officeDocument/2006/relationships/hyperlink" Target="https://www.google.com/maps/search/?api=1&amp;query=Gaisano%20Grand%20Citimall%20Illustre%20Davao%20City&amp;query_place_id=ChIJnQiJEXdt-TIRUuYmuomu8zw" TargetMode="External"/><Relationship Id="rId222" Type="http://schemas.openxmlformats.org/officeDocument/2006/relationships/hyperlink" Target="https://www.fridays.com.ph/frontend/tgif-ph-complete-menu.pdf" TargetMode="External"/><Relationship Id="rId17" Type="http://schemas.openxmlformats.org/officeDocument/2006/relationships/hyperlink" Target="https://www.google.com/maps/search/?api=1&amp;query=Thai%20Boran%20-%20Catalunan%20Grande%20Davao%20City&amp;query_place_id=ChIJx8YeGxET-TIR32QPuVv910k" TargetMode="External"/><Relationship Id="rId38" Type="http://schemas.openxmlformats.org/officeDocument/2006/relationships/hyperlink" Target="https://www.bioessence.com.ph/" TargetMode="External"/><Relationship Id="rId59" Type="http://schemas.openxmlformats.org/officeDocument/2006/relationships/hyperlink" Target="https://www.google.com/maps/search/?api=1&amp;query=St.%20Francis%20of%20Assisi%20Parish%20Davao%20City&amp;query_place_id=ChIJL66jCNxs-TIRxRjer6Ox3f4" TargetMode="External"/><Relationship Id="rId103" Type="http://schemas.openxmlformats.org/officeDocument/2006/relationships/hyperlink" Target="https://www.google.com/maps/search/?api=1&amp;query=Thai%20Boran%20-%20Damosa%20Davao%20City&amp;query_place_id=ChIJd96Nvjhs-TIRFajcnBBWbGQ" TargetMode="External"/><Relationship Id="rId124" Type="http://schemas.openxmlformats.org/officeDocument/2006/relationships/hyperlink" Target="https://www.kayak.com.ph/Davao-City-Hotels-Microtel-by-Wyndham-Davao.186885.ksp" TargetMode="External"/><Relationship Id="rId70" Type="http://schemas.openxmlformats.org/officeDocument/2006/relationships/hyperlink" Target="https://www.facebook.com/NCCCCenterpoint/" TargetMode="External"/><Relationship Id="rId91" Type="http://schemas.openxmlformats.org/officeDocument/2006/relationships/hyperlink" Target="https://www.google.com/maps/search/?api=1&amp;query=Botanical%20Garden%20Davao%20City&amp;query_place_id=ChIJ3bYENwxt-TIRlMh3Qpz4TDA" TargetMode="External"/><Relationship Id="rId145" Type="http://schemas.openxmlformats.org/officeDocument/2006/relationships/hyperlink" Target="https://www.google.com/maps/search/?api=1&amp;query=Asian%20Cow%20by%20Chef%20Patrick%20Co%20Davao%20City&amp;query_place_id=ChIJs1DWLlJt-TIR3tB_MHpQenA" TargetMode="External"/><Relationship Id="rId166" Type="http://schemas.openxmlformats.org/officeDocument/2006/relationships/hyperlink" Target="https://www.trivago.com.ph/en-PH/oar/hotel-emilia-davao-city?search=100-2295372" TargetMode="External"/><Relationship Id="rId187" Type="http://schemas.openxmlformats.org/officeDocument/2006/relationships/hyperlink" Target="https://www.google.com/maps/search/?api=1&amp;query=Italianni%27s%20Restaurant%20-%20Abreeza%20Mall%20Davao%20City&amp;query_place_id=ChIJVVVVVVUR-TIR8-gqNHJhuZg" TargetMode="External"/><Relationship Id="rId1" Type="http://schemas.openxmlformats.org/officeDocument/2006/relationships/hyperlink" Target="https://www.google.com/maps/search/?api=1&amp;query=Freedom%20Park%20Davao%20City&amp;query_place_id=ChIJV1yiLJxt-TIRZpvPEZEqKUA" TargetMode="External"/><Relationship Id="rId212" Type="http://schemas.openxmlformats.org/officeDocument/2006/relationships/hyperlink" Target="https://www.kayak.com.ph/Davao-City-Hotels-Red-Planet-Davao.2043844.ksp" TargetMode="External"/><Relationship Id="rId28" Type="http://schemas.openxmlformats.org/officeDocument/2006/relationships/hyperlink" Target="https://www.tiktok.com/@kristine_cso/video/7434844601409621266" TargetMode="External"/><Relationship Id="rId49" Type="http://schemas.openxmlformats.org/officeDocument/2006/relationships/hyperlink" Target="https://www.google.com/maps/search/?api=1&amp;query=NCCC%20Cinemas%20Davao%20City&amp;query_place_id=ChIJJ45YXNVt-TIRhPDHm6F45uc" TargetMode="External"/><Relationship Id="rId114" Type="http://schemas.openxmlformats.org/officeDocument/2006/relationships/hyperlink" Target="https://www.facebook.com/reel/26228923066773241" TargetMode="External"/><Relationship Id="rId60" Type="http://schemas.openxmlformats.org/officeDocument/2006/relationships/hyperlink" Target="https://www.sunstar.com.ph/davao/feature/4-new-davao-places-worthy-of-visits" TargetMode="External"/><Relationship Id="rId81" Type="http://schemas.openxmlformats.org/officeDocument/2006/relationships/hyperlink" Target="https://www.google.com/maps/search/?api=1&amp;query=Waka%20Massage%20Palace%20Davao%20City&amp;query_place_id=ChIJmU8Jhitt-TIRB3Zi4uJrPAM" TargetMode="External"/><Relationship Id="rId135" Type="http://schemas.openxmlformats.org/officeDocument/2006/relationships/hyperlink" Target="https://www.google.com/maps/search/?api=1&amp;query=SM%20Lanang%20Premier%20Davao%20City&amp;query_place_id=ChIJeUusayRt-TIR-uCt7RnwE7Q" TargetMode="External"/><Relationship Id="rId156" Type="http://schemas.openxmlformats.org/officeDocument/2006/relationships/hyperlink" Target="https://www.facebook.com/cfcofdavao/" TargetMode="External"/><Relationship Id="rId177" Type="http://schemas.openxmlformats.org/officeDocument/2006/relationships/hyperlink" Target="https://www.google.com/maps/search/?api=1&amp;query=Roxas%20Night%20Market%20Davao%20City&amp;query_place_id=ChIJ9UTyY5xt-TIRVk5Tw38mvPQ" TargetMode="External"/><Relationship Id="rId198" Type="http://schemas.openxmlformats.org/officeDocument/2006/relationships/hyperlink" Target="https://www.facebook.com/davaoadventists/" TargetMode="External"/><Relationship Id="rId202" Type="http://schemas.openxmlformats.org/officeDocument/2006/relationships/hyperlink" Target="https://davaocity.gov.ph/environment/los-amigos-park-opens-to-public/" TargetMode="External"/><Relationship Id="rId223" Type="http://schemas.openxmlformats.org/officeDocument/2006/relationships/hyperlink" Target="https://www.google.com/maps/search/?api=1&amp;query=TGI%20Friday%27s%20-%20Abreeza%20Mall%20Davao%20City&amp;query_place_id=ChIJj4lfOapt-TIRqUpkPMwZxm8" TargetMode="External"/><Relationship Id="rId18" Type="http://schemas.openxmlformats.org/officeDocument/2006/relationships/hyperlink" Target="https://www.facebook.com/photo/?fbid=122162277398969021" TargetMode="External"/><Relationship Id="rId39" Type="http://schemas.openxmlformats.org/officeDocument/2006/relationships/hyperlink" Target="https://www.google.com/maps/search/?api=1&amp;query=Bioessence%20Gold%20Marfori%20Davao%20City&amp;query_place_id=ChIJ14ROWwlt-TIRIrts-9WGB0g" TargetMode="External"/><Relationship Id="rId50" Type="http://schemas.openxmlformats.org/officeDocument/2006/relationships/hyperlink" Target="https://tourism.davaocity.gov.ph/?p=452" TargetMode="External"/><Relationship Id="rId104" Type="http://schemas.openxmlformats.org/officeDocument/2006/relationships/hyperlink" Target="https://local.churchofjesuschrist.org/en/ph/davao-city/matina-crossing" TargetMode="External"/><Relationship Id="rId125" Type="http://schemas.openxmlformats.org/officeDocument/2006/relationships/hyperlink" Target="https://www.google.com/maps/search/?api=1&amp;query=Microtel%20by%20Wyndham%20Davao%20Davao%20City&amp;query_place_id=ChIJc5wBKWVt-TIRLk5lahkNk7k" TargetMode="External"/><Relationship Id="rId146" Type="http://schemas.openxmlformats.org/officeDocument/2006/relationships/hyperlink" Target="https://www.facebook.com/share/p/1DyJotxv6n/" TargetMode="External"/><Relationship Id="rId167" Type="http://schemas.openxmlformats.org/officeDocument/2006/relationships/hyperlink" Target="https://www.google.com/maps/search/?api=1&amp;query=Hotel%20Emilia%20Davao%20City&amp;query_place_id=ChIJlXgf4gpt-TIRw-GIypPwd9k" TargetMode="External"/><Relationship Id="rId188" Type="http://schemas.openxmlformats.org/officeDocument/2006/relationships/hyperlink" Target="https://www.foodpanda.ph/restaurant/p0nf/jollibee-davao-bolton-p0nf" TargetMode="External"/><Relationship Id="rId71" Type="http://schemas.openxmlformats.org/officeDocument/2006/relationships/hyperlink" Target="https://www.google.com/maps/search/?api=1&amp;query=NCCC%20Centerpoint%20Davao%20City&amp;query_place_id=ChIJR70Fvaty-TIRoQQcc_Jz0eI" TargetMode="External"/><Relationship Id="rId92" Type="http://schemas.openxmlformats.org/officeDocument/2006/relationships/hyperlink" Target="https://www.facebook.com/p/Davao-Central-Seventh-day-Adventist-Church-of-Davao-Mission-61576242165845/" TargetMode="External"/><Relationship Id="rId213" Type="http://schemas.openxmlformats.org/officeDocument/2006/relationships/hyperlink" Target="https://www.google.com/maps/search/?api=1&amp;query=Red%20Planet%20Davao%20Davao%20City&amp;query_place_id=ChIJZdARfE5s-TIRppFosEOBkq0" TargetMode="External"/><Relationship Id="rId2" Type="http://schemas.openxmlformats.org/officeDocument/2006/relationships/hyperlink" Target="https://www.tripadvisor.com.ph/Attraction_Review-g298459-d4371311-Reviews-Osmena_Park-Davao_City_Davao_del_Sur_Province_Mindanao.html" TargetMode="External"/><Relationship Id="rId29" Type="http://schemas.openxmlformats.org/officeDocument/2006/relationships/hyperlink" Target="https://www.google.com/maps/search/?api=1&amp;query=Amiya%20Resort%20Residences%20Clubhouse%20Davao%20City&amp;query_place_id=ChIJiQMqjZoN-TIR9qPLL1MXM6Q" TargetMode="External"/><Relationship Id="rId40" Type="http://schemas.openxmlformats.org/officeDocument/2006/relationships/hyperlink" Target="https://www.facebook.com/photo/?fbid=1003998015497494" TargetMode="External"/><Relationship Id="rId115" Type="http://schemas.openxmlformats.org/officeDocument/2006/relationships/hyperlink" Target="https://www.google.com/maps/search/?api=1&amp;query=Gap%20Farming%20Resort%20Davao%20City&amp;query_place_id=ChIJwUvaoClt-TIRmqSnEBQDnNg" TargetMode="External"/><Relationship Id="rId136" Type="http://schemas.openxmlformats.org/officeDocument/2006/relationships/hyperlink" Target="https://www.kayak.com.ph/Davao-City-Hotels-Sunny-Point-Hotel.660895.ksp" TargetMode="External"/><Relationship Id="rId157" Type="http://schemas.openxmlformats.org/officeDocument/2006/relationships/hyperlink" Target="https://www.google.com/maps/search/?api=1&amp;query=Christ%20Fellowship%20Church%20Davao%20City&amp;query_place_id=ChIJUeQY_XRt-TIRMsQdPand52o" TargetMode="External"/><Relationship Id="rId178" Type="http://schemas.openxmlformats.org/officeDocument/2006/relationships/hyperlink" Target="https://www.easybook.com/en-ph/tour/destination/philippines/davao/davao-city/holy-infant-jesus-of-prague-shrine" TargetMode="External"/><Relationship Id="rId61" Type="http://schemas.openxmlformats.org/officeDocument/2006/relationships/hyperlink" Target="https://www.google.com/maps/search/?api=1&amp;query=Upside%20Down%20House%20Museum%20Davao%20Davao%20City&amp;query_place_id=ChIJF_W_dgBt-TIRrlUf8Rtqwek" TargetMode="External"/><Relationship Id="rId82" Type="http://schemas.openxmlformats.org/officeDocument/2006/relationships/hyperlink" Target="https://www.facebook.com/photo/?fbid=983579444714103" TargetMode="External"/><Relationship Id="rId199" Type="http://schemas.openxmlformats.org/officeDocument/2006/relationships/hyperlink" Target="https://www.google.com/maps/search/?api=1&amp;query=Davao%20Mission%20of%20Seventh-day%20Adventist%20Church%20Davao%20City&amp;query_place_id=ChIJ4xGWuVNs-TIRXFe4dkNrwIM" TargetMode="External"/><Relationship Id="rId203" Type="http://schemas.openxmlformats.org/officeDocument/2006/relationships/hyperlink" Target="https://www.google.com/maps/search/?api=1&amp;query=Los%20Amigos%20Park%20Davao%20City&amp;query_place_id=ChIJs5drlj8T-TIRJnvu-gRGBJU" TargetMode="External"/><Relationship Id="rId19" Type="http://schemas.openxmlformats.org/officeDocument/2006/relationships/hyperlink" Target="https://www.google.com/maps/search/?api=1&amp;query=Thai%20Royale%20Spa%20Davao%20City%20-%20Matina%20Branch%20Davao%20City&amp;query_place_id=ChIJQy2xOABz-TIRwEATFEIWzOQ" TargetMode="External"/><Relationship Id="rId30" Type="http://schemas.openxmlformats.org/officeDocument/2006/relationships/hyperlink" Target="https://www.tiktok.com/@kristine_cso/video/7434844601409621266" TargetMode="External"/><Relationship Id="rId105" Type="http://schemas.openxmlformats.org/officeDocument/2006/relationships/hyperlink" Target="https://www.google.com/maps/search/?api=1&amp;query=The%20Church%20of%20Jesus%20Christ%20of%20Latter-day%20Saints%20Davao%20City&amp;query_place_id=ChIJ4_fpf6xy-TIRNtscAvlJtHI" TargetMode="External"/><Relationship Id="rId126" Type="http://schemas.openxmlformats.org/officeDocument/2006/relationships/hyperlink" Target="https://www.facebook.com/NCCCMallBuhangin/" TargetMode="External"/><Relationship Id="rId147" Type="http://schemas.openxmlformats.org/officeDocument/2006/relationships/hyperlink" Target="https://www.google.com/maps/search/?api=1&amp;query=Junex%20Tuna%20%26%20Seafood%20Davao%20City&amp;query_place_id=ChIJEzkx8k0N-TIROcWbV_gq1t0" TargetMode="External"/><Relationship Id="rId168" Type="http://schemas.openxmlformats.org/officeDocument/2006/relationships/hyperlink" Target="https://www.jacksridgedavao.com/rates_regular_menu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4" x14ac:dyDescent="0.3"/>
  <cols>
    <col min="1" max="1" width="34" customWidth="1"/>
    <col min="2" max="2" width="70" customWidth="1"/>
  </cols>
  <sheetData>
    <row r="1" spans="1:2" ht="15.6" customHeight="1" x14ac:dyDescent="0.3">
      <c r="A1" s="1" t="s">
        <v>427</v>
      </c>
      <c r="B1" s="2"/>
    </row>
    <row r="2" spans="1:2" x14ac:dyDescent="0.3">
      <c r="A2" t="s">
        <v>45</v>
      </c>
      <c r="B2" s="2" t="s">
        <v>428</v>
      </c>
    </row>
    <row r="3" spans="1:2" ht="28.8" customHeight="1" x14ac:dyDescent="0.3">
      <c r="A3" t="s">
        <v>429</v>
      </c>
      <c r="B3" s="2" t="s">
        <v>430</v>
      </c>
    </row>
    <row r="4" spans="1:2" x14ac:dyDescent="0.3">
      <c r="A4" t="s">
        <v>141</v>
      </c>
      <c r="B4" s="2" t="s">
        <v>431</v>
      </c>
    </row>
    <row r="5" spans="1:2" x14ac:dyDescent="0.3">
      <c r="A5" t="s">
        <v>432</v>
      </c>
      <c r="B5" s="2" t="s">
        <v>433</v>
      </c>
    </row>
    <row r="6" spans="1:2" x14ac:dyDescent="0.3">
      <c r="A6" t="s">
        <v>93</v>
      </c>
      <c r="B6" s="2" t="s">
        <v>434</v>
      </c>
    </row>
    <row r="7" spans="1:2" x14ac:dyDescent="0.3">
      <c r="A7" t="s">
        <v>435</v>
      </c>
      <c r="B7" s="2" t="s">
        <v>436</v>
      </c>
    </row>
    <row r="8" spans="1:2" x14ac:dyDescent="0.3">
      <c r="B8" s="2"/>
    </row>
    <row r="9" spans="1:2" ht="15.6" customHeight="1" x14ac:dyDescent="0.3">
      <c r="A9" s="1" t="s">
        <v>437</v>
      </c>
      <c r="B9" s="2"/>
    </row>
    <row r="10" spans="1:2" x14ac:dyDescent="0.3">
      <c r="A10" t="s">
        <v>438</v>
      </c>
      <c r="B10" s="2">
        <f>COUNTA(Prices!B2:B113)</f>
        <v>112</v>
      </c>
    </row>
    <row r="11" spans="1:2" x14ac:dyDescent="0.3">
      <c r="A11" t="s">
        <v>439</v>
      </c>
      <c r="B11" s="2">
        <f>COUNT(Prices!I2:I113)</f>
        <v>112</v>
      </c>
    </row>
    <row r="12" spans="1:2" x14ac:dyDescent="0.3">
      <c r="A12" t="s">
        <v>440</v>
      </c>
      <c r="B12" s="2">
        <f>COUNTIF(Prices!M2:M113,"Yes")</f>
        <v>70</v>
      </c>
    </row>
    <row r="13" spans="1:2" x14ac:dyDescent="0.3">
      <c r="A13" t="s">
        <v>441</v>
      </c>
      <c r="B13" s="3">
        <f>IF(B11=0,"",B12/B11)</f>
        <v>0.625</v>
      </c>
    </row>
    <row r="14" spans="1:2" x14ac:dyDescent="0.3">
      <c r="A14" t="s">
        <v>442</v>
      </c>
      <c r="B14" s="4">
        <f>IF(B11=0,"",SUMPRODUCT(--(Prices!I2:I113&lt;&gt;""),ABS(Prices!I2:I113-Prices!H2:H113))/B11)</f>
        <v>271.3125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6"/>
  <sheetViews>
    <sheetView tabSelected="1" workbookViewId="0">
      <pane xSplit="2" ySplit="1" topLeftCell="F74" activePane="bottomRight" state="frozen"/>
      <selection pane="topRight"/>
      <selection pane="bottomLeft"/>
      <selection pane="bottomRight" activeCell="L79" sqref="L79"/>
    </sheetView>
  </sheetViews>
  <sheetFormatPr defaultRowHeight="14.4" x14ac:dyDescent="0.3"/>
  <cols>
    <col min="1" max="1" width="5" customWidth="1"/>
    <col min="2" max="2" width="38" customWidth="1"/>
    <col min="3" max="3" width="22" customWidth="1"/>
    <col min="4" max="4" width="20" customWidth="1"/>
    <col min="5" max="5" width="11" customWidth="1"/>
    <col min="6" max="6" width="20" customWidth="1"/>
    <col min="7" max="7" width="14" customWidth="1"/>
    <col min="8" max="9" width="13" customWidth="1"/>
    <col min="10" max="10" width="28" customWidth="1"/>
    <col min="11" max="11" width="48" customWidth="1"/>
    <col min="12" max="13" width="12" customWidth="1"/>
    <col min="14" max="14" width="70" customWidth="1"/>
    <col min="15" max="15" width="18" customWidth="1"/>
    <col min="16" max="16" width="14" customWidth="1"/>
    <col min="17" max="17" width="22" customWidth="1"/>
  </cols>
  <sheetData>
    <row r="1" spans="1:17" ht="31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8.8" customHeight="1" x14ac:dyDescent="0.3">
      <c r="A2" s="6">
        <v>1</v>
      </c>
      <c r="B2" s="2" t="s">
        <v>17</v>
      </c>
      <c r="C2" s="2" t="s">
        <v>18</v>
      </c>
      <c r="D2" s="6" t="s">
        <v>19</v>
      </c>
      <c r="E2" s="6">
        <v>18</v>
      </c>
      <c r="F2" s="6" t="s">
        <v>20</v>
      </c>
      <c r="G2" s="6" t="s">
        <v>21</v>
      </c>
      <c r="H2" s="6">
        <v>0</v>
      </c>
      <c r="I2" s="7">
        <v>0</v>
      </c>
      <c r="J2" s="2" t="s">
        <v>22</v>
      </c>
      <c r="K2" s="2"/>
      <c r="L2" s="6" t="s">
        <v>23</v>
      </c>
      <c r="M2" s="6" t="str">
        <f t="shared" ref="M2:M33" si="0">IF(I2="","",IF(ABS(I2-H2)&lt;=MAX(50,0.5*H2),"Yes","No"))</f>
        <v>Yes</v>
      </c>
      <c r="N2" s="2" t="s">
        <v>24</v>
      </c>
      <c r="O2" s="6"/>
      <c r="P2" s="8" t="s">
        <v>25</v>
      </c>
      <c r="Q2" s="6" t="s">
        <v>26</v>
      </c>
    </row>
    <row r="3" spans="1:17" ht="43.2" customHeight="1" x14ac:dyDescent="0.3">
      <c r="A3" s="6">
        <v>2</v>
      </c>
      <c r="B3" s="2" t="s">
        <v>27</v>
      </c>
      <c r="C3" s="2" t="s">
        <v>18</v>
      </c>
      <c r="D3" s="6" t="s">
        <v>19</v>
      </c>
      <c r="E3" s="6">
        <v>18</v>
      </c>
      <c r="F3" s="6" t="s">
        <v>20</v>
      </c>
      <c r="G3" s="6" t="s">
        <v>21</v>
      </c>
      <c r="H3" s="6">
        <v>0</v>
      </c>
      <c r="I3" s="7">
        <v>0</v>
      </c>
      <c r="J3" s="2" t="s">
        <v>22</v>
      </c>
      <c r="K3" s="2" t="s">
        <v>28</v>
      </c>
      <c r="L3" s="6" t="s">
        <v>23</v>
      </c>
      <c r="M3" s="6" t="str">
        <f t="shared" si="0"/>
        <v>Yes</v>
      </c>
      <c r="N3" s="2" t="s">
        <v>29</v>
      </c>
      <c r="O3" s="6"/>
      <c r="P3" s="8" t="s">
        <v>25</v>
      </c>
      <c r="Q3" s="6" t="s">
        <v>26</v>
      </c>
    </row>
    <row r="4" spans="1:17" ht="43.2" customHeight="1" x14ac:dyDescent="0.3">
      <c r="A4" s="6">
        <v>3</v>
      </c>
      <c r="B4" s="2" t="s">
        <v>30</v>
      </c>
      <c r="C4" s="2" t="s">
        <v>31</v>
      </c>
      <c r="D4" s="6" t="s">
        <v>32</v>
      </c>
      <c r="E4" s="6">
        <v>15</v>
      </c>
      <c r="F4" s="6" t="s">
        <v>33</v>
      </c>
      <c r="G4" s="6" t="s">
        <v>21</v>
      </c>
      <c r="H4" s="6">
        <v>450</v>
      </c>
      <c r="I4" s="7">
        <v>350</v>
      </c>
      <c r="J4" s="2" t="s">
        <v>34</v>
      </c>
      <c r="K4" s="2" t="s">
        <v>35</v>
      </c>
      <c r="L4" s="6" t="s">
        <v>23</v>
      </c>
      <c r="M4" s="6" t="str">
        <f t="shared" si="0"/>
        <v>Yes</v>
      </c>
      <c r="N4" s="2" t="s">
        <v>36</v>
      </c>
      <c r="O4" s="6"/>
      <c r="P4" s="8" t="s">
        <v>25</v>
      </c>
      <c r="Q4" s="6" t="s">
        <v>26</v>
      </c>
    </row>
    <row r="5" spans="1:17" ht="28.8" customHeight="1" x14ac:dyDescent="0.3">
      <c r="A5" s="6">
        <v>4</v>
      </c>
      <c r="B5" s="2" t="s">
        <v>37</v>
      </c>
      <c r="C5" s="2" t="s">
        <v>38</v>
      </c>
      <c r="D5" s="6" t="s">
        <v>39</v>
      </c>
      <c r="E5" s="6">
        <v>12</v>
      </c>
      <c r="F5" s="6" t="s">
        <v>40</v>
      </c>
      <c r="G5" s="6" t="s">
        <v>21</v>
      </c>
      <c r="H5" s="6">
        <v>150</v>
      </c>
      <c r="I5" s="7">
        <v>100</v>
      </c>
      <c r="J5" s="2" t="s">
        <v>34</v>
      </c>
      <c r="K5" s="2" t="s">
        <v>41</v>
      </c>
      <c r="L5" s="6" t="s">
        <v>42</v>
      </c>
      <c r="M5" s="6" t="str">
        <f t="shared" si="0"/>
        <v>Yes</v>
      </c>
      <c r="N5" s="2" t="s">
        <v>43</v>
      </c>
      <c r="O5" s="6"/>
      <c r="P5" s="8" t="s">
        <v>25</v>
      </c>
      <c r="Q5" s="6" t="s">
        <v>26</v>
      </c>
    </row>
    <row r="6" spans="1:17" ht="43.2" customHeight="1" x14ac:dyDescent="0.3">
      <c r="A6" s="6">
        <v>5</v>
      </c>
      <c r="B6" s="2" t="s">
        <v>44</v>
      </c>
      <c r="C6" s="2" t="s">
        <v>45</v>
      </c>
      <c r="D6" s="6" t="s">
        <v>46</v>
      </c>
      <c r="E6" s="6">
        <v>12</v>
      </c>
      <c r="F6" s="6" t="s">
        <v>47</v>
      </c>
      <c r="G6" s="6" t="s">
        <v>21</v>
      </c>
      <c r="H6" s="6">
        <v>450</v>
      </c>
      <c r="I6" s="7">
        <v>530</v>
      </c>
      <c r="J6" s="2" t="s">
        <v>48</v>
      </c>
      <c r="K6" s="2" t="s">
        <v>49</v>
      </c>
      <c r="L6" s="6" t="s">
        <v>42</v>
      </c>
      <c r="M6" s="6" t="str">
        <f t="shared" si="0"/>
        <v>Yes</v>
      </c>
      <c r="N6" s="2" t="s">
        <v>50</v>
      </c>
      <c r="O6" s="6"/>
      <c r="P6" s="8" t="s">
        <v>25</v>
      </c>
      <c r="Q6" s="6" t="s">
        <v>26</v>
      </c>
    </row>
    <row r="7" spans="1:17" ht="28.8" customHeight="1" x14ac:dyDescent="0.3">
      <c r="A7" s="6">
        <v>6</v>
      </c>
      <c r="B7" s="2" t="s">
        <v>51</v>
      </c>
      <c r="C7" s="2" t="s">
        <v>52</v>
      </c>
      <c r="D7" s="6" t="s">
        <v>39</v>
      </c>
      <c r="E7" s="6">
        <v>11</v>
      </c>
      <c r="F7" s="6" t="s">
        <v>40</v>
      </c>
      <c r="G7" s="6" t="s">
        <v>21</v>
      </c>
      <c r="H7" s="6">
        <v>150</v>
      </c>
      <c r="I7" s="7">
        <v>50</v>
      </c>
      <c r="J7" s="2" t="s">
        <v>34</v>
      </c>
      <c r="K7" s="2" t="s">
        <v>53</v>
      </c>
      <c r="L7" s="6" t="s">
        <v>23</v>
      </c>
      <c r="M7" s="6" t="str">
        <f t="shared" si="0"/>
        <v>No</v>
      </c>
      <c r="N7" s="2" t="s">
        <v>54</v>
      </c>
      <c r="O7" s="6"/>
      <c r="P7" s="8" t="s">
        <v>25</v>
      </c>
      <c r="Q7" s="6" t="s">
        <v>26</v>
      </c>
    </row>
    <row r="8" spans="1:17" ht="28.8" customHeight="1" x14ac:dyDescent="0.3">
      <c r="A8" s="6">
        <v>7</v>
      </c>
      <c r="B8" s="2" t="s">
        <v>55</v>
      </c>
      <c r="C8" s="2" t="s">
        <v>18</v>
      </c>
      <c r="D8" s="6" t="s">
        <v>56</v>
      </c>
      <c r="E8" s="6">
        <v>11</v>
      </c>
      <c r="F8" s="6" t="s">
        <v>33</v>
      </c>
      <c r="G8" s="6" t="s">
        <v>21</v>
      </c>
      <c r="H8" s="6">
        <v>450</v>
      </c>
      <c r="I8" s="7">
        <v>150</v>
      </c>
      <c r="J8" s="2" t="s">
        <v>57</v>
      </c>
      <c r="K8" s="2" t="s">
        <v>58</v>
      </c>
      <c r="L8" s="6" t="s">
        <v>42</v>
      </c>
      <c r="M8" s="6" t="str">
        <f t="shared" si="0"/>
        <v>No</v>
      </c>
      <c r="N8" s="2" t="s">
        <v>59</v>
      </c>
      <c r="O8" s="6"/>
      <c r="P8" s="8" t="s">
        <v>25</v>
      </c>
      <c r="Q8" s="6" t="s">
        <v>26</v>
      </c>
    </row>
    <row r="9" spans="1:17" ht="28.8" customHeight="1" x14ac:dyDescent="0.3">
      <c r="A9" s="6">
        <v>8</v>
      </c>
      <c r="B9" s="2" t="s">
        <v>60</v>
      </c>
      <c r="C9" s="2" t="s">
        <v>52</v>
      </c>
      <c r="D9" s="6" t="s">
        <v>61</v>
      </c>
      <c r="E9" s="6">
        <v>11</v>
      </c>
      <c r="F9" s="6" t="s">
        <v>40</v>
      </c>
      <c r="G9" s="6" t="s">
        <v>21</v>
      </c>
      <c r="H9" s="6">
        <v>0</v>
      </c>
      <c r="I9" s="7">
        <v>35</v>
      </c>
      <c r="J9" s="2" t="s">
        <v>34</v>
      </c>
      <c r="K9" s="2" t="s">
        <v>62</v>
      </c>
      <c r="L9" s="6" t="s">
        <v>23</v>
      </c>
      <c r="M9" s="6" t="str">
        <f t="shared" si="0"/>
        <v>Yes</v>
      </c>
      <c r="N9" s="2" t="s">
        <v>63</v>
      </c>
      <c r="O9" s="6"/>
      <c r="P9" s="8" t="s">
        <v>25</v>
      </c>
      <c r="Q9" s="6" t="s">
        <v>26</v>
      </c>
    </row>
    <row r="10" spans="1:17" ht="129.6" customHeight="1" x14ac:dyDescent="0.3">
      <c r="A10" s="6">
        <v>9</v>
      </c>
      <c r="B10" s="2" t="s">
        <v>64</v>
      </c>
      <c r="C10" s="2" t="s">
        <v>45</v>
      </c>
      <c r="D10" s="6" t="s">
        <v>46</v>
      </c>
      <c r="E10" s="6">
        <v>11</v>
      </c>
      <c r="F10" s="6" t="s">
        <v>47</v>
      </c>
      <c r="G10" s="6" t="s">
        <v>21</v>
      </c>
      <c r="H10" s="6">
        <v>450</v>
      </c>
      <c r="I10" s="7">
        <v>500</v>
      </c>
      <c r="J10" s="2" t="s">
        <v>65</v>
      </c>
      <c r="K10" s="2" t="s">
        <v>66</v>
      </c>
      <c r="L10" s="6" t="s">
        <v>42</v>
      </c>
      <c r="M10" s="6" t="str">
        <f t="shared" si="0"/>
        <v>Yes</v>
      </c>
      <c r="N10" s="2" t="s">
        <v>67</v>
      </c>
      <c r="O10" s="6"/>
      <c r="P10" s="8" t="s">
        <v>25</v>
      </c>
      <c r="Q10" s="6" t="s">
        <v>26</v>
      </c>
    </row>
    <row r="11" spans="1:17" ht="28.8" customHeight="1" x14ac:dyDescent="0.3">
      <c r="A11" s="6">
        <v>10</v>
      </c>
      <c r="B11" s="2" t="s">
        <v>68</v>
      </c>
      <c r="C11" s="2" t="s">
        <v>45</v>
      </c>
      <c r="D11" s="6" t="s">
        <v>46</v>
      </c>
      <c r="E11" s="6">
        <v>11</v>
      </c>
      <c r="F11" s="6" t="s">
        <v>47</v>
      </c>
      <c r="G11" s="6" t="s">
        <v>21</v>
      </c>
      <c r="H11" s="6">
        <v>450</v>
      </c>
      <c r="I11" s="7">
        <v>499</v>
      </c>
      <c r="J11" s="2" t="s">
        <v>69</v>
      </c>
      <c r="K11" s="2" t="s">
        <v>70</v>
      </c>
      <c r="L11" s="6" t="s">
        <v>42</v>
      </c>
      <c r="M11" s="6" t="str">
        <f t="shared" si="0"/>
        <v>Yes</v>
      </c>
      <c r="N11" s="2" t="s">
        <v>71</v>
      </c>
      <c r="O11" s="6"/>
      <c r="P11" s="8" t="s">
        <v>25</v>
      </c>
      <c r="Q11" s="6" t="s">
        <v>26</v>
      </c>
    </row>
    <row r="12" spans="1:17" ht="28.8" customHeight="1" x14ac:dyDescent="0.3">
      <c r="A12" s="6">
        <v>11</v>
      </c>
      <c r="B12" s="2" t="s">
        <v>72</v>
      </c>
      <c r="C12" s="2" t="s">
        <v>18</v>
      </c>
      <c r="D12" s="6" t="s">
        <v>56</v>
      </c>
      <c r="E12" s="6">
        <v>10</v>
      </c>
      <c r="F12" s="6" t="s">
        <v>33</v>
      </c>
      <c r="G12" s="6" t="s">
        <v>21</v>
      </c>
      <c r="H12" s="6">
        <v>450</v>
      </c>
      <c r="I12" s="7">
        <v>300</v>
      </c>
      <c r="J12" s="2" t="s">
        <v>73</v>
      </c>
      <c r="K12" s="2" t="s">
        <v>74</v>
      </c>
      <c r="L12" s="6" t="s">
        <v>42</v>
      </c>
      <c r="M12" s="6" t="str">
        <f t="shared" si="0"/>
        <v>Yes</v>
      </c>
      <c r="N12" s="2" t="s">
        <v>75</v>
      </c>
      <c r="O12" s="6"/>
      <c r="P12" s="8" t="s">
        <v>25</v>
      </c>
      <c r="Q12" s="6" t="s">
        <v>26</v>
      </c>
    </row>
    <row r="13" spans="1:17" ht="28.8" customHeight="1" x14ac:dyDescent="0.3">
      <c r="A13" s="6">
        <v>12</v>
      </c>
      <c r="B13" s="2" t="s">
        <v>76</v>
      </c>
      <c r="C13" s="2" t="s">
        <v>18</v>
      </c>
      <c r="D13" s="6" t="s">
        <v>19</v>
      </c>
      <c r="E13" s="6">
        <v>10</v>
      </c>
      <c r="F13" s="6" t="s">
        <v>20</v>
      </c>
      <c r="G13" s="6" t="s">
        <v>21</v>
      </c>
      <c r="H13" s="6">
        <v>0</v>
      </c>
      <c r="I13" s="7">
        <v>0</v>
      </c>
      <c r="J13" s="2" t="s">
        <v>22</v>
      </c>
      <c r="K13" s="2" t="s">
        <v>74</v>
      </c>
      <c r="L13" s="6" t="s">
        <v>23</v>
      </c>
      <c r="M13" s="6" t="str">
        <f t="shared" si="0"/>
        <v>Yes</v>
      </c>
      <c r="N13" s="2" t="s">
        <v>24</v>
      </c>
      <c r="O13" s="6"/>
      <c r="P13" s="8" t="s">
        <v>25</v>
      </c>
      <c r="Q13" s="6" t="s">
        <v>26</v>
      </c>
    </row>
    <row r="14" spans="1:17" ht="28.8" customHeight="1" x14ac:dyDescent="0.3">
      <c r="A14" s="6">
        <v>13</v>
      </c>
      <c r="B14" s="2" t="s">
        <v>77</v>
      </c>
      <c r="C14" s="2" t="s">
        <v>18</v>
      </c>
      <c r="D14" s="6" t="s">
        <v>56</v>
      </c>
      <c r="E14" s="6">
        <v>9</v>
      </c>
      <c r="F14" s="6" t="s">
        <v>33</v>
      </c>
      <c r="G14" s="6" t="s">
        <v>21</v>
      </c>
      <c r="H14" s="6">
        <v>450</v>
      </c>
      <c r="I14" s="7">
        <v>500</v>
      </c>
      <c r="J14" s="2" t="s">
        <v>34</v>
      </c>
      <c r="K14" s="2" t="s">
        <v>78</v>
      </c>
      <c r="L14" s="6" t="s">
        <v>42</v>
      </c>
      <c r="M14" s="6" t="str">
        <f t="shared" si="0"/>
        <v>Yes</v>
      </c>
      <c r="N14" s="2" t="s">
        <v>79</v>
      </c>
      <c r="O14" s="6"/>
      <c r="P14" s="8" t="s">
        <v>25</v>
      </c>
      <c r="Q14" s="6" t="s">
        <v>26</v>
      </c>
    </row>
    <row r="15" spans="1:17" ht="28.8" customHeight="1" x14ac:dyDescent="0.3">
      <c r="A15" s="6">
        <v>14</v>
      </c>
      <c r="B15" s="2" t="s">
        <v>80</v>
      </c>
      <c r="C15" s="2" t="s">
        <v>81</v>
      </c>
      <c r="D15" s="6" t="s">
        <v>82</v>
      </c>
      <c r="E15" s="6">
        <v>9</v>
      </c>
      <c r="F15" s="6" t="s">
        <v>20</v>
      </c>
      <c r="G15" s="6" t="s">
        <v>21</v>
      </c>
      <c r="H15" s="6">
        <v>0</v>
      </c>
      <c r="I15" s="7">
        <v>0</v>
      </c>
      <c r="J15" s="2" t="s">
        <v>22</v>
      </c>
      <c r="K15" s="2" t="s">
        <v>78</v>
      </c>
      <c r="L15" s="6" t="s">
        <v>23</v>
      </c>
      <c r="M15" s="6" t="str">
        <f t="shared" si="0"/>
        <v>Yes</v>
      </c>
      <c r="N15" s="2"/>
      <c r="O15" s="6"/>
      <c r="P15" s="8" t="s">
        <v>25</v>
      </c>
      <c r="Q15" s="6" t="s">
        <v>26</v>
      </c>
    </row>
    <row r="16" spans="1:17" ht="57.6" customHeight="1" x14ac:dyDescent="0.3">
      <c r="A16" s="6">
        <v>15</v>
      </c>
      <c r="B16" s="2" t="s">
        <v>83</v>
      </c>
      <c r="C16" s="2" t="s">
        <v>84</v>
      </c>
      <c r="D16" s="6" t="s">
        <v>85</v>
      </c>
      <c r="E16" s="6">
        <v>8</v>
      </c>
      <c r="F16" s="6" t="s">
        <v>47</v>
      </c>
      <c r="G16" s="6" t="s">
        <v>86</v>
      </c>
      <c r="H16" s="6">
        <v>5000</v>
      </c>
      <c r="I16" s="7">
        <v>5000</v>
      </c>
      <c r="J16" s="2" t="s">
        <v>87</v>
      </c>
      <c r="K16" s="2" t="s">
        <v>88</v>
      </c>
      <c r="L16" s="6" t="s">
        <v>23</v>
      </c>
      <c r="M16" s="6" t="str">
        <f t="shared" si="0"/>
        <v>Yes</v>
      </c>
      <c r="N16" s="2" t="s">
        <v>89</v>
      </c>
      <c r="O16" s="6"/>
      <c r="P16" s="8" t="s">
        <v>25</v>
      </c>
      <c r="Q16" s="6" t="s">
        <v>26</v>
      </c>
    </row>
    <row r="17" spans="1:17" ht="43.2" customHeight="1" x14ac:dyDescent="0.3">
      <c r="A17" s="6">
        <v>16</v>
      </c>
      <c r="B17" s="2" t="s">
        <v>90</v>
      </c>
      <c r="C17" s="2" t="s">
        <v>52</v>
      </c>
      <c r="D17" s="6" t="s">
        <v>61</v>
      </c>
      <c r="E17" s="6">
        <v>8</v>
      </c>
      <c r="F17" s="6" t="s">
        <v>20</v>
      </c>
      <c r="G17" s="6" t="s">
        <v>21</v>
      </c>
      <c r="H17" s="6">
        <v>0</v>
      </c>
      <c r="I17" s="7">
        <v>0</v>
      </c>
      <c r="J17" s="2" t="s">
        <v>22</v>
      </c>
      <c r="K17" s="2" t="s">
        <v>88</v>
      </c>
      <c r="L17" s="6" t="s">
        <v>23</v>
      </c>
      <c r="M17" s="6" t="str">
        <f t="shared" si="0"/>
        <v>Yes</v>
      </c>
      <c r="N17" s="2" t="s">
        <v>91</v>
      </c>
      <c r="O17" s="6"/>
      <c r="P17" s="8" t="s">
        <v>25</v>
      </c>
      <c r="Q17" s="6" t="s">
        <v>26</v>
      </c>
    </row>
    <row r="18" spans="1:17" ht="72" customHeight="1" x14ac:dyDescent="0.3">
      <c r="A18" s="6">
        <v>17</v>
      </c>
      <c r="B18" s="2" t="s">
        <v>92</v>
      </c>
      <c r="C18" s="2" t="s">
        <v>93</v>
      </c>
      <c r="D18" s="6" t="s">
        <v>94</v>
      </c>
      <c r="E18" s="6">
        <v>8</v>
      </c>
      <c r="F18" s="6" t="s">
        <v>33</v>
      </c>
      <c r="G18" s="6" t="s">
        <v>21</v>
      </c>
      <c r="H18" s="6">
        <v>150</v>
      </c>
      <c r="I18" s="7">
        <v>250</v>
      </c>
      <c r="J18" s="2" t="s">
        <v>34</v>
      </c>
      <c r="K18" s="2" t="s">
        <v>95</v>
      </c>
      <c r="L18" s="6" t="s">
        <v>23</v>
      </c>
      <c r="M18" s="6" t="str">
        <f t="shared" si="0"/>
        <v>No</v>
      </c>
      <c r="N18" s="2" t="s">
        <v>96</v>
      </c>
      <c r="O18" s="6"/>
      <c r="P18" s="8" t="s">
        <v>25</v>
      </c>
      <c r="Q18" s="6" t="s">
        <v>26</v>
      </c>
    </row>
    <row r="19" spans="1:17" ht="28.8" customHeight="1" x14ac:dyDescent="0.3">
      <c r="A19" s="6">
        <v>18</v>
      </c>
      <c r="B19" s="2" t="s">
        <v>97</v>
      </c>
      <c r="C19" s="2" t="s">
        <v>45</v>
      </c>
      <c r="D19" s="6" t="s">
        <v>46</v>
      </c>
      <c r="E19" s="6">
        <v>8</v>
      </c>
      <c r="F19" s="6" t="s">
        <v>47</v>
      </c>
      <c r="G19" s="6" t="s">
        <v>21</v>
      </c>
      <c r="H19" s="6">
        <v>450</v>
      </c>
      <c r="I19" s="7">
        <v>700</v>
      </c>
      <c r="J19" s="2" t="s">
        <v>98</v>
      </c>
      <c r="K19" s="2" t="s">
        <v>99</v>
      </c>
      <c r="L19" s="6" t="s">
        <v>23</v>
      </c>
      <c r="M19" s="6" t="str">
        <f t="shared" si="0"/>
        <v>No</v>
      </c>
      <c r="N19" s="2" t="s">
        <v>100</v>
      </c>
      <c r="O19" s="6"/>
      <c r="P19" s="8" t="s">
        <v>25</v>
      </c>
      <c r="Q19" s="6" t="s">
        <v>26</v>
      </c>
    </row>
    <row r="20" spans="1:17" x14ac:dyDescent="0.3">
      <c r="A20" s="6">
        <v>19</v>
      </c>
      <c r="B20" s="2" t="s">
        <v>101</v>
      </c>
      <c r="C20" s="2" t="s">
        <v>93</v>
      </c>
      <c r="D20" s="6" t="s">
        <v>102</v>
      </c>
      <c r="E20" s="6">
        <v>8</v>
      </c>
      <c r="F20" s="6" t="s">
        <v>103</v>
      </c>
      <c r="G20" s="6" t="s">
        <v>21</v>
      </c>
      <c r="H20" s="6">
        <v>250.5</v>
      </c>
      <c r="I20" s="7">
        <v>195</v>
      </c>
      <c r="J20" s="2" t="s">
        <v>104</v>
      </c>
      <c r="K20" s="2" t="s">
        <v>105</v>
      </c>
      <c r="L20" s="6"/>
      <c r="M20" s="6" t="str">
        <f t="shared" si="0"/>
        <v>Yes</v>
      </c>
      <c r="N20" s="2" t="s">
        <v>106</v>
      </c>
      <c r="O20" s="6" t="s">
        <v>107</v>
      </c>
      <c r="P20" s="8" t="s">
        <v>25</v>
      </c>
      <c r="Q20" s="6" t="s">
        <v>108</v>
      </c>
    </row>
    <row r="21" spans="1:17" x14ac:dyDescent="0.3">
      <c r="A21" s="6">
        <v>20</v>
      </c>
      <c r="B21" s="2" t="s">
        <v>109</v>
      </c>
      <c r="C21" s="2" t="s">
        <v>45</v>
      </c>
      <c r="D21" s="6" t="s">
        <v>110</v>
      </c>
      <c r="E21" s="6">
        <v>7</v>
      </c>
      <c r="F21" s="6" t="s">
        <v>47</v>
      </c>
      <c r="G21" s="6" t="s">
        <v>21</v>
      </c>
      <c r="H21" s="6">
        <v>450</v>
      </c>
      <c r="I21" s="7">
        <v>1000</v>
      </c>
      <c r="J21" s="2" t="s">
        <v>111</v>
      </c>
      <c r="K21" s="2" t="s">
        <v>112</v>
      </c>
      <c r="L21" s="6" t="s">
        <v>23</v>
      </c>
      <c r="M21" s="6" t="str">
        <f t="shared" si="0"/>
        <v>No</v>
      </c>
      <c r="N21" s="2" t="s">
        <v>113</v>
      </c>
      <c r="O21" s="6"/>
      <c r="P21" s="8" t="s">
        <v>25</v>
      </c>
      <c r="Q21" s="6" t="s">
        <v>26</v>
      </c>
    </row>
    <row r="22" spans="1:17" ht="28.8" customHeight="1" x14ac:dyDescent="0.3">
      <c r="A22" s="6">
        <v>21</v>
      </c>
      <c r="B22" s="2" t="s">
        <v>114</v>
      </c>
      <c r="C22" s="2" t="s">
        <v>31</v>
      </c>
      <c r="D22" s="6" t="s">
        <v>56</v>
      </c>
      <c r="E22" s="6">
        <v>7</v>
      </c>
      <c r="F22" s="6" t="s">
        <v>33</v>
      </c>
      <c r="G22" s="6" t="s">
        <v>21</v>
      </c>
      <c r="H22" s="6">
        <v>450</v>
      </c>
      <c r="I22" s="7">
        <v>450</v>
      </c>
      <c r="J22" s="2" t="s">
        <v>34</v>
      </c>
      <c r="K22" s="2" t="s">
        <v>115</v>
      </c>
      <c r="L22" s="6" t="s">
        <v>23</v>
      </c>
      <c r="M22" s="6" t="str">
        <f t="shared" si="0"/>
        <v>Yes</v>
      </c>
      <c r="N22" s="2" t="s">
        <v>116</v>
      </c>
      <c r="O22" s="6"/>
      <c r="P22" s="8" t="s">
        <v>25</v>
      </c>
      <c r="Q22" s="6" t="s">
        <v>26</v>
      </c>
    </row>
    <row r="23" spans="1:17" ht="28.8" customHeight="1" x14ac:dyDescent="0.3">
      <c r="A23" s="6">
        <v>22</v>
      </c>
      <c r="B23" s="2" t="s">
        <v>117</v>
      </c>
      <c r="C23" s="2" t="s">
        <v>31</v>
      </c>
      <c r="D23" s="6" t="s">
        <v>32</v>
      </c>
      <c r="E23" s="6">
        <v>7</v>
      </c>
      <c r="F23" s="6" t="s">
        <v>33</v>
      </c>
      <c r="G23" s="6" t="s">
        <v>21</v>
      </c>
      <c r="H23" s="6">
        <v>450</v>
      </c>
      <c r="I23" s="7">
        <v>350</v>
      </c>
      <c r="J23" s="2" t="s">
        <v>34</v>
      </c>
      <c r="K23" s="2" t="s">
        <v>118</v>
      </c>
      <c r="L23" s="6" t="s">
        <v>23</v>
      </c>
      <c r="M23" s="6" t="str">
        <f t="shared" si="0"/>
        <v>Yes</v>
      </c>
      <c r="N23" s="2" t="s">
        <v>119</v>
      </c>
      <c r="O23" s="6"/>
      <c r="P23" s="8" t="s">
        <v>25</v>
      </c>
      <c r="Q23" s="6" t="s">
        <v>26</v>
      </c>
    </row>
    <row r="24" spans="1:17" ht="28.8" customHeight="1" x14ac:dyDescent="0.3">
      <c r="A24" s="6">
        <v>23</v>
      </c>
      <c r="B24" s="2" t="s">
        <v>120</v>
      </c>
      <c r="C24" s="2" t="s">
        <v>45</v>
      </c>
      <c r="D24" s="6" t="s">
        <v>46</v>
      </c>
      <c r="E24" s="6">
        <v>7</v>
      </c>
      <c r="F24" s="6" t="s">
        <v>47</v>
      </c>
      <c r="G24" s="6" t="s">
        <v>21</v>
      </c>
      <c r="H24" s="6">
        <v>450</v>
      </c>
      <c r="I24" s="7">
        <v>250</v>
      </c>
      <c r="J24" s="2" t="s">
        <v>121</v>
      </c>
      <c r="K24" s="2" t="s">
        <v>122</v>
      </c>
      <c r="L24" s="6" t="s">
        <v>42</v>
      </c>
      <c r="M24" s="6" t="str">
        <f t="shared" si="0"/>
        <v>Yes</v>
      </c>
      <c r="N24" s="2" t="s">
        <v>123</v>
      </c>
      <c r="O24" s="6"/>
      <c r="P24" s="8" t="s">
        <v>25</v>
      </c>
      <c r="Q24" s="6" t="s">
        <v>26</v>
      </c>
    </row>
    <row r="25" spans="1:17" ht="28.8" customHeight="1" x14ac:dyDescent="0.3">
      <c r="A25" s="6">
        <v>24</v>
      </c>
      <c r="B25" s="2" t="s">
        <v>124</v>
      </c>
      <c r="C25" s="2" t="s">
        <v>125</v>
      </c>
      <c r="D25" s="6" t="s">
        <v>126</v>
      </c>
      <c r="E25" s="6">
        <v>7</v>
      </c>
      <c r="F25" s="6" t="s">
        <v>33</v>
      </c>
      <c r="G25" s="6" t="s">
        <v>21</v>
      </c>
      <c r="H25" s="6">
        <v>450</v>
      </c>
      <c r="I25" s="7">
        <v>1000</v>
      </c>
      <c r="J25" s="2" t="s">
        <v>34</v>
      </c>
      <c r="K25" s="2" t="s">
        <v>127</v>
      </c>
      <c r="L25" s="6" t="s">
        <v>23</v>
      </c>
      <c r="M25" s="6" t="str">
        <f t="shared" si="0"/>
        <v>No</v>
      </c>
      <c r="N25" s="2" t="s">
        <v>128</v>
      </c>
      <c r="O25" s="6"/>
      <c r="P25" s="8" t="s">
        <v>25</v>
      </c>
      <c r="Q25" s="6" t="s">
        <v>26</v>
      </c>
    </row>
    <row r="26" spans="1:17" ht="28.8" customHeight="1" x14ac:dyDescent="0.3">
      <c r="A26" s="6">
        <v>25</v>
      </c>
      <c r="B26" s="2" t="s">
        <v>129</v>
      </c>
      <c r="C26" s="2" t="s">
        <v>125</v>
      </c>
      <c r="D26" s="6" t="s">
        <v>130</v>
      </c>
      <c r="E26" s="6">
        <v>7</v>
      </c>
      <c r="F26" s="6" t="s">
        <v>40</v>
      </c>
      <c r="G26" s="6" t="s">
        <v>21</v>
      </c>
      <c r="H26" s="6">
        <v>450</v>
      </c>
      <c r="I26" s="7">
        <v>270</v>
      </c>
      <c r="J26" s="2" t="s">
        <v>34</v>
      </c>
      <c r="K26" s="2" t="s">
        <v>131</v>
      </c>
      <c r="L26" s="6" t="s">
        <v>23</v>
      </c>
      <c r="M26" s="6" t="str">
        <f t="shared" si="0"/>
        <v>Yes</v>
      </c>
      <c r="N26" s="2" t="s">
        <v>132</v>
      </c>
      <c r="O26" s="6"/>
      <c r="P26" s="8" t="s">
        <v>25</v>
      </c>
      <c r="Q26" s="6" t="s">
        <v>26</v>
      </c>
    </row>
    <row r="27" spans="1:17" x14ac:dyDescent="0.3">
      <c r="A27" s="6">
        <v>26</v>
      </c>
      <c r="B27" s="2" t="s">
        <v>133</v>
      </c>
      <c r="C27" s="2" t="s">
        <v>18</v>
      </c>
      <c r="D27" s="6" t="s">
        <v>19</v>
      </c>
      <c r="E27" s="6">
        <v>7</v>
      </c>
      <c r="F27" s="6" t="s">
        <v>20</v>
      </c>
      <c r="G27" s="6" t="s">
        <v>21</v>
      </c>
      <c r="H27" s="6">
        <v>0</v>
      </c>
      <c r="I27" s="7">
        <v>0</v>
      </c>
      <c r="J27" s="2" t="s">
        <v>22</v>
      </c>
      <c r="K27" s="2" t="s">
        <v>134</v>
      </c>
      <c r="L27" s="6" t="s">
        <v>23</v>
      </c>
      <c r="M27" s="6" t="str">
        <f t="shared" si="0"/>
        <v>Yes</v>
      </c>
      <c r="N27" s="2" t="s">
        <v>135</v>
      </c>
      <c r="O27" s="6"/>
      <c r="P27" s="8" t="s">
        <v>25</v>
      </c>
      <c r="Q27" s="6" t="s">
        <v>26</v>
      </c>
    </row>
    <row r="28" spans="1:17" ht="57.6" customHeight="1" x14ac:dyDescent="0.3">
      <c r="A28" s="6">
        <v>27</v>
      </c>
      <c r="B28" s="2" t="s">
        <v>136</v>
      </c>
      <c r="C28" s="2" t="s">
        <v>125</v>
      </c>
      <c r="D28" s="6" t="s">
        <v>137</v>
      </c>
      <c r="E28" s="6">
        <v>7</v>
      </c>
      <c r="F28" s="6" t="s">
        <v>20</v>
      </c>
      <c r="G28" s="6" t="s">
        <v>21</v>
      </c>
      <c r="H28" s="6">
        <v>450</v>
      </c>
      <c r="I28" s="7">
        <v>0</v>
      </c>
      <c r="J28" s="2" t="s">
        <v>22</v>
      </c>
      <c r="K28" s="2" t="s">
        <v>138</v>
      </c>
      <c r="L28" s="6" t="s">
        <v>42</v>
      </c>
      <c r="M28" s="6" t="str">
        <f t="shared" si="0"/>
        <v>No</v>
      </c>
      <c r="N28" s="2" t="s">
        <v>139</v>
      </c>
      <c r="O28" s="6"/>
      <c r="P28" s="8" t="s">
        <v>25</v>
      </c>
      <c r="Q28" s="6" t="s">
        <v>26</v>
      </c>
    </row>
    <row r="29" spans="1:17" ht="28.8" customHeight="1" x14ac:dyDescent="0.3">
      <c r="A29" s="6">
        <v>28</v>
      </c>
      <c r="B29" s="2" t="s">
        <v>140</v>
      </c>
      <c r="C29" s="2" t="s">
        <v>141</v>
      </c>
      <c r="D29" s="6" t="s">
        <v>82</v>
      </c>
      <c r="E29" s="6">
        <v>6</v>
      </c>
      <c r="F29" s="6" t="s">
        <v>20</v>
      </c>
      <c r="G29" s="6" t="s">
        <v>21</v>
      </c>
      <c r="H29" s="6">
        <v>0</v>
      </c>
      <c r="I29" s="7">
        <v>0</v>
      </c>
      <c r="J29" s="2" t="s">
        <v>22</v>
      </c>
      <c r="K29" s="2" t="s">
        <v>142</v>
      </c>
      <c r="L29" s="6" t="s">
        <v>42</v>
      </c>
      <c r="M29" s="6" t="str">
        <f t="shared" si="0"/>
        <v>Yes</v>
      </c>
      <c r="N29" s="2" t="s">
        <v>143</v>
      </c>
      <c r="O29" s="6"/>
      <c r="P29" s="8" t="s">
        <v>25</v>
      </c>
      <c r="Q29" s="6" t="s">
        <v>26</v>
      </c>
    </row>
    <row r="30" spans="1:17" ht="28.8" customHeight="1" x14ac:dyDescent="0.3">
      <c r="A30" s="6">
        <v>29</v>
      </c>
      <c r="B30" s="2" t="s">
        <v>144</v>
      </c>
      <c r="C30" s="2" t="s">
        <v>31</v>
      </c>
      <c r="D30" s="6" t="s">
        <v>145</v>
      </c>
      <c r="E30" s="6">
        <v>6</v>
      </c>
      <c r="F30" s="6" t="s">
        <v>40</v>
      </c>
      <c r="G30" s="6" t="s">
        <v>21</v>
      </c>
      <c r="H30" s="6">
        <v>450</v>
      </c>
      <c r="I30" s="7">
        <v>30</v>
      </c>
      <c r="J30" s="2" t="s">
        <v>34</v>
      </c>
      <c r="K30" s="2" t="s">
        <v>146</v>
      </c>
      <c r="L30" s="6" t="s">
        <v>23</v>
      </c>
      <c r="M30" s="6" t="str">
        <f t="shared" si="0"/>
        <v>No</v>
      </c>
      <c r="N30" s="2" t="s">
        <v>147</v>
      </c>
      <c r="O30" s="6"/>
      <c r="P30" s="8" t="s">
        <v>25</v>
      </c>
      <c r="Q30" s="6" t="s">
        <v>26</v>
      </c>
    </row>
    <row r="31" spans="1:17" ht="43.2" customHeight="1" x14ac:dyDescent="0.3">
      <c r="A31" s="6">
        <v>30</v>
      </c>
      <c r="B31" s="2" t="s">
        <v>148</v>
      </c>
      <c r="C31" s="2" t="s">
        <v>141</v>
      </c>
      <c r="D31" s="6" t="s">
        <v>82</v>
      </c>
      <c r="E31" s="6">
        <v>6</v>
      </c>
      <c r="F31" s="6" t="s">
        <v>20</v>
      </c>
      <c r="G31" s="6" t="s">
        <v>21</v>
      </c>
      <c r="H31" s="6">
        <v>0</v>
      </c>
      <c r="I31" s="7">
        <v>0</v>
      </c>
      <c r="J31" s="2" t="s">
        <v>149</v>
      </c>
      <c r="K31" s="2" t="s">
        <v>150</v>
      </c>
      <c r="L31" s="6" t="s">
        <v>23</v>
      </c>
      <c r="M31" s="6" t="str">
        <f t="shared" si="0"/>
        <v>Yes</v>
      </c>
      <c r="N31" s="2" t="s">
        <v>151</v>
      </c>
      <c r="O31" s="6"/>
      <c r="P31" s="8" t="s">
        <v>25</v>
      </c>
      <c r="Q31" s="6" t="s">
        <v>26</v>
      </c>
    </row>
    <row r="32" spans="1:17" ht="28.8" customHeight="1" x14ac:dyDescent="0.3">
      <c r="A32" s="6">
        <v>31</v>
      </c>
      <c r="B32" s="2" t="s">
        <v>152</v>
      </c>
      <c r="C32" s="2" t="s">
        <v>81</v>
      </c>
      <c r="D32" s="6" t="s">
        <v>56</v>
      </c>
      <c r="E32" s="6">
        <v>6</v>
      </c>
      <c r="F32" s="6" t="s">
        <v>40</v>
      </c>
      <c r="G32" s="6" t="s">
        <v>21</v>
      </c>
      <c r="H32" s="6">
        <v>450</v>
      </c>
      <c r="I32" s="7">
        <v>250</v>
      </c>
      <c r="J32" s="2" t="s">
        <v>34</v>
      </c>
      <c r="K32" s="2" t="s">
        <v>153</v>
      </c>
      <c r="L32" s="6" t="s">
        <v>23</v>
      </c>
      <c r="M32" s="6" t="str">
        <f t="shared" si="0"/>
        <v>Yes</v>
      </c>
      <c r="N32" s="2" t="s">
        <v>154</v>
      </c>
      <c r="O32" s="6"/>
      <c r="P32" s="8" t="s">
        <v>25</v>
      </c>
      <c r="Q32" s="6" t="s">
        <v>26</v>
      </c>
    </row>
    <row r="33" spans="1:17" x14ac:dyDescent="0.3">
      <c r="A33" s="6">
        <v>32</v>
      </c>
      <c r="B33" s="2" t="s">
        <v>155</v>
      </c>
      <c r="C33" s="2" t="s">
        <v>93</v>
      </c>
      <c r="D33" s="6" t="s">
        <v>156</v>
      </c>
      <c r="E33" s="6">
        <v>6</v>
      </c>
      <c r="F33" s="6" t="s">
        <v>103</v>
      </c>
      <c r="G33" s="6" t="s">
        <v>21</v>
      </c>
      <c r="H33" s="6">
        <v>250.5</v>
      </c>
      <c r="I33" s="7">
        <v>165</v>
      </c>
      <c r="J33" s="2" t="s">
        <v>104</v>
      </c>
      <c r="K33" s="2" t="s">
        <v>157</v>
      </c>
      <c r="L33" s="6"/>
      <c r="M33" s="6" t="str">
        <f t="shared" si="0"/>
        <v>Yes</v>
      </c>
      <c r="N33" s="2" t="s">
        <v>158</v>
      </c>
      <c r="O33" s="6" t="s">
        <v>107</v>
      </c>
      <c r="P33" s="8" t="s">
        <v>25</v>
      </c>
      <c r="Q33" s="6" t="s">
        <v>108</v>
      </c>
    </row>
    <row r="34" spans="1:17" ht="86.4" customHeight="1" x14ac:dyDescent="0.3">
      <c r="A34" s="6">
        <v>33</v>
      </c>
      <c r="B34" s="2" t="s">
        <v>159</v>
      </c>
      <c r="C34" s="2" t="s">
        <v>45</v>
      </c>
      <c r="D34" s="6" t="s">
        <v>46</v>
      </c>
      <c r="E34" s="6">
        <v>5</v>
      </c>
      <c r="F34" s="6" t="s">
        <v>47</v>
      </c>
      <c r="G34" s="6" t="s">
        <v>21</v>
      </c>
      <c r="H34" s="6">
        <v>350</v>
      </c>
      <c r="I34" s="7">
        <v>350</v>
      </c>
      <c r="J34" s="2" t="s">
        <v>160</v>
      </c>
      <c r="K34" s="2" t="s">
        <v>161</v>
      </c>
      <c r="L34" s="6" t="s">
        <v>23</v>
      </c>
      <c r="M34" s="6" t="str">
        <f t="shared" ref="M34:M65" si="1">IF(I34="","",IF(ABS(I34-H34)&lt;=MAX(50,0.5*H34),"Yes","No"))</f>
        <v>Yes</v>
      </c>
      <c r="N34" s="2" t="s">
        <v>162</v>
      </c>
      <c r="O34" s="6"/>
      <c r="P34" s="8" t="s">
        <v>25</v>
      </c>
      <c r="Q34" s="6" t="s">
        <v>26</v>
      </c>
    </row>
    <row r="35" spans="1:17" ht="43.2" customHeight="1" x14ac:dyDescent="0.3">
      <c r="A35" s="6">
        <v>34</v>
      </c>
      <c r="B35" s="2" t="s">
        <v>163</v>
      </c>
      <c r="C35" s="2" t="s">
        <v>81</v>
      </c>
      <c r="D35" s="6" t="s">
        <v>164</v>
      </c>
      <c r="E35" s="6">
        <v>5</v>
      </c>
      <c r="F35" s="6" t="s">
        <v>20</v>
      </c>
      <c r="G35" s="6" t="s">
        <v>21</v>
      </c>
      <c r="H35" s="6">
        <v>0</v>
      </c>
      <c r="I35" s="7">
        <v>0</v>
      </c>
      <c r="J35" s="2" t="s">
        <v>22</v>
      </c>
      <c r="K35" s="2" t="s">
        <v>165</v>
      </c>
      <c r="L35" s="6" t="s">
        <v>42</v>
      </c>
      <c r="M35" s="6" t="str">
        <f t="shared" si="1"/>
        <v>Yes</v>
      </c>
      <c r="N35" s="2" t="s">
        <v>166</v>
      </c>
      <c r="O35" s="6"/>
      <c r="P35" s="8" t="s">
        <v>25</v>
      </c>
      <c r="Q35" s="6" t="s">
        <v>26</v>
      </c>
    </row>
    <row r="36" spans="1:17" ht="28.8" customHeight="1" x14ac:dyDescent="0.3">
      <c r="A36" s="6">
        <v>35</v>
      </c>
      <c r="B36" s="2" t="s">
        <v>167</v>
      </c>
      <c r="C36" s="2" t="s">
        <v>141</v>
      </c>
      <c r="D36" s="6" t="s">
        <v>82</v>
      </c>
      <c r="E36" s="6">
        <v>5</v>
      </c>
      <c r="F36" s="6" t="s">
        <v>20</v>
      </c>
      <c r="G36" s="6" t="s">
        <v>21</v>
      </c>
      <c r="H36" s="6">
        <v>0</v>
      </c>
      <c r="I36" s="7">
        <v>0</v>
      </c>
      <c r="J36" s="2" t="s">
        <v>22</v>
      </c>
      <c r="K36" s="2" t="s">
        <v>168</v>
      </c>
      <c r="L36" s="6" t="s">
        <v>42</v>
      </c>
      <c r="M36" s="6" t="str">
        <f t="shared" si="1"/>
        <v>Yes</v>
      </c>
      <c r="N36" s="2" t="s">
        <v>169</v>
      </c>
      <c r="O36" s="6"/>
      <c r="P36" s="8" t="s">
        <v>25</v>
      </c>
      <c r="Q36" s="6" t="s">
        <v>26</v>
      </c>
    </row>
    <row r="37" spans="1:17" ht="43.2" customHeight="1" x14ac:dyDescent="0.3">
      <c r="A37" s="6">
        <v>36</v>
      </c>
      <c r="B37" s="2" t="s">
        <v>170</v>
      </c>
      <c r="C37" s="2" t="s">
        <v>171</v>
      </c>
      <c r="D37" s="6" t="s">
        <v>172</v>
      </c>
      <c r="E37" s="6">
        <v>5</v>
      </c>
      <c r="F37" s="6" t="s">
        <v>20</v>
      </c>
      <c r="G37" s="6" t="s">
        <v>21</v>
      </c>
      <c r="H37" s="6">
        <v>150</v>
      </c>
      <c r="I37" s="7">
        <v>0</v>
      </c>
      <c r="J37" s="2" t="s">
        <v>22</v>
      </c>
      <c r="K37" s="2" t="s">
        <v>173</v>
      </c>
      <c r="L37" s="6" t="s">
        <v>42</v>
      </c>
      <c r="M37" s="6" t="str">
        <f t="shared" si="1"/>
        <v>No</v>
      </c>
      <c r="N37" s="2" t="s">
        <v>174</v>
      </c>
      <c r="O37" s="6"/>
      <c r="P37" s="8" t="s">
        <v>25</v>
      </c>
      <c r="Q37" s="6" t="s">
        <v>26</v>
      </c>
    </row>
    <row r="38" spans="1:17" ht="43.2" customHeight="1" x14ac:dyDescent="0.3">
      <c r="A38" s="6">
        <v>37</v>
      </c>
      <c r="B38" s="2" t="s">
        <v>175</v>
      </c>
      <c r="C38" s="2" t="s">
        <v>81</v>
      </c>
      <c r="D38" s="6" t="s">
        <v>176</v>
      </c>
      <c r="E38" s="6">
        <v>5</v>
      </c>
      <c r="F38" s="6" t="s">
        <v>40</v>
      </c>
      <c r="G38" s="6" t="s">
        <v>21</v>
      </c>
      <c r="H38" s="6">
        <v>150</v>
      </c>
      <c r="I38" s="7">
        <v>100</v>
      </c>
      <c r="J38" s="2" t="s">
        <v>34</v>
      </c>
      <c r="K38" s="2" t="s">
        <v>177</v>
      </c>
      <c r="L38" s="6" t="s">
        <v>42</v>
      </c>
      <c r="M38" s="6" t="str">
        <f t="shared" si="1"/>
        <v>Yes</v>
      </c>
      <c r="N38" s="2" t="s">
        <v>178</v>
      </c>
      <c r="O38" s="6"/>
      <c r="P38" s="8" t="s">
        <v>25</v>
      </c>
      <c r="Q38" s="6" t="s">
        <v>26</v>
      </c>
    </row>
    <row r="39" spans="1:17" ht="43.2" customHeight="1" x14ac:dyDescent="0.3">
      <c r="A39" s="6">
        <v>38</v>
      </c>
      <c r="B39" s="2" t="s">
        <v>179</v>
      </c>
      <c r="C39" s="2" t="s">
        <v>171</v>
      </c>
      <c r="D39" s="6" t="s">
        <v>172</v>
      </c>
      <c r="E39" s="6">
        <v>5</v>
      </c>
      <c r="F39" s="6" t="s">
        <v>20</v>
      </c>
      <c r="G39" s="6" t="s">
        <v>21</v>
      </c>
      <c r="H39" s="6">
        <v>150</v>
      </c>
      <c r="I39" s="7">
        <v>0</v>
      </c>
      <c r="J39" s="2" t="s">
        <v>22</v>
      </c>
      <c r="K39" s="2" t="s">
        <v>180</v>
      </c>
      <c r="L39" s="6" t="s">
        <v>23</v>
      </c>
      <c r="M39" s="6" t="str">
        <f t="shared" si="1"/>
        <v>No</v>
      </c>
      <c r="N39" s="2" t="s">
        <v>181</v>
      </c>
      <c r="O39" s="6"/>
      <c r="P39" s="8" t="s">
        <v>25</v>
      </c>
      <c r="Q39" s="6" t="s">
        <v>26</v>
      </c>
    </row>
    <row r="40" spans="1:17" ht="43.2" customHeight="1" x14ac:dyDescent="0.3">
      <c r="A40" s="6">
        <v>39</v>
      </c>
      <c r="B40" s="2" t="s">
        <v>182</v>
      </c>
      <c r="C40" s="2" t="s">
        <v>81</v>
      </c>
      <c r="D40" s="6" t="s">
        <v>82</v>
      </c>
      <c r="E40" s="6">
        <v>5</v>
      </c>
      <c r="F40" s="6" t="s">
        <v>20</v>
      </c>
      <c r="G40" s="6" t="s">
        <v>21</v>
      </c>
      <c r="H40" s="6">
        <v>0</v>
      </c>
      <c r="I40" s="7">
        <v>0</v>
      </c>
      <c r="J40" s="2" t="s">
        <v>22</v>
      </c>
      <c r="K40" s="2" t="s">
        <v>183</v>
      </c>
      <c r="L40" s="6" t="s">
        <v>42</v>
      </c>
      <c r="M40" s="6" t="str">
        <f t="shared" si="1"/>
        <v>Yes</v>
      </c>
      <c r="N40" s="2" t="s">
        <v>184</v>
      </c>
      <c r="O40" s="6"/>
      <c r="P40" s="8" t="s">
        <v>25</v>
      </c>
      <c r="Q40" s="6" t="s">
        <v>26</v>
      </c>
    </row>
    <row r="41" spans="1:17" ht="28.8" customHeight="1" x14ac:dyDescent="0.3">
      <c r="A41" s="6">
        <v>40</v>
      </c>
      <c r="B41" s="2" t="s">
        <v>185</v>
      </c>
      <c r="C41" s="2" t="s">
        <v>141</v>
      </c>
      <c r="D41" s="6" t="s">
        <v>82</v>
      </c>
      <c r="E41" s="6">
        <v>5</v>
      </c>
      <c r="F41" s="6" t="s">
        <v>20</v>
      </c>
      <c r="G41" s="6" t="s">
        <v>21</v>
      </c>
      <c r="H41" s="6">
        <v>0</v>
      </c>
      <c r="I41" s="7">
        <v>0</v>
      </c>
      <c r="J41" s="2" t="s">
        <v>22</v>
      </c>
      <c r="K41" s="2" t="s">
        <v>186</v>
      </c>
      <c r="L41" s="6" t="s">
        <v>42</v>
      </c>
      <c r="M41" s="6" t="str">
        <f t="shared" si="1"/>
        <v>Yes</v>
      </c>
      <c r="N41" s="2" t="s">
        <v>187</v>
      </c>
      <c r="O41" s="6"/>
      <c r="P41" s="8" t="s">
        <v>25</v>
      </c>
      <c r="Q41" s="6" t="s">
        <v>26</v>
      </c>
    </row>
    <row r="42" spans="1:17" ht="28.8" customHeight="1" x14ac:dyDescent="0.3">
      <c r="A42" s="6">
        <v>41</v>
      </c>
      <c r="B42" s="2" t="s">
        <v>188</v>
      </c>
      <c r="C42" s="2" t="s">
        <v>45</v>
      </c>
      <c r="D42" s="6" t="s">
        <v>46</v>
      </c>
      <c r="E42" s="6">
        <v>5</v>
      </c>
      <c r="F42" s="6" t="s">
        <v>47</v>
      </c>
      <c r="G42" s="6" t="s">
        <v>21</v>
      </c>
      <c r="H42" s="6">
        <v>450</v>
      </c>
      <c r="I42" s="7">
        <v>349</v>
      </c>
      <c r="J42" s="2" t="s">
        <v>189</v>
      </c>
      <c r="K42" s="2" t="s">
        <v>190</v>
      </c>
      <c r="L42" s="6" t="s">
        <v>23</v>
      </c>
      <c r="M42" s="6" t="str">
        <f t="shared" si="1"/>
        <v>Yes</v>
      </c>
      <c r="N42" s="2" t="s">
        <v>191</v>
      </c>
      <c r="O42" s="6"/>
      <c r="P42" s="8" t="s">
        <v>25</v>
      </c>
      <c r="Q42" s="6" t="s">
        <v>26</v>
      </c>
    </row>
    <row r="43" spans="1:17" ht="28.8" customHeight="1" x14ac:dyDescent="0.3">
      <c r="A43" s="6">
        <v>42</v>
      </c>
      <c r="B43" s="2" t="s">
        <v>192</v>
      </c>
      <c r="C43" s="2" t="s">
        <v>45</v>
      </c>
      <c r="D43" s="6" t="s">
        <v>46</v>
      </c>
      <c r="E43" s="6">
        <v>5</v>
      </c>
      <c r="F43" s="6" t="s">
        <v>47</v>
      </c>
      <c r="G43" s="6" t="s">
        <v>21</v>
      </c>
      <c r="H43" s="6">
        <v>450</v>
      </c>
      <c r="I43" s="7">
        <v>700</v>
      </c>
      <c r="J43" s="2" t="s">
        <v>98</v>
      </c>
      <c r="K43" s="2" t="s">
        <v>99</v>
      </c>
      <c r="L43" s="6" t="s">
        <v>42</v>
      </c>
      <c r="M43" s="6" t="str">
        <f t="shared" si="1"/>
        <v>No</v>
      </c>
      <c r="N43" s="2" t="s">
        <v>100</v>
      </c>
      <c r="O43" s="6"/>
      <c r="P43" s="8" t="s">
        <v>25</v>
      </c>
      <c r="Q43" s="6" t="s">
        <v>26</v>
      </c>
    </row>
    <row r="44" spans="1:17" ht="43.2" customHeight="1" x14ac:dyDescent="0.3">
      <c r="A44" s="6">
        <v>43</v>
      </c>
      <c r="B44" s="2" t="s">
        <v>193</v>
      </c>
      <c r="C44" s="2" t="s">
        <v>125</v>
      </c>
      <c r="D44" s="6" t="s">
        <v>194</v>
      </c>
      <c r="E44" s="6">
        <v>5</v>
      </c>
      <c r="F44" s="6" t="s">
        <v>40</v>
      </c>
      <c r="G44" s="6" t="s">
        <v>21</v>
      </c>
      <c r="H44" s="6">
        <v>450</v>
      </c>
      <c r="I44" s="7">
        <v>20</v>
      </c>
      <c r="J44" s="2" t="s">
        <v>195</v>
      </c>
      <c r="K44" s="2" t="s">
        <v>196</v>
      </c>
      <c r="L44" s="6" t="s">
        <v>42</v>
      </c>
      <c r="M44" s="6" t="str">
        <f t="shared" si="1"/>
        <v>No</v>
      </c>
      <c r="N44" s="2" t="s">
        <v>197</v>
      </c>
      <c r="O44" s="6"/>
      <c r="P44" s="8" t="s">
        <v>25</v>
      </c>
      <c r="Q44" s="6" t="s">
        <v>26</v>
      </c>
    </row>
    <row r="45" spans="1:17" x14ac:dyDescent="0.3">
      <c r="A45" s="6">
        <v>44</v>
      </c>
      <c r="B45" s="2" t="s">
        <v>198</v>
      </c>
      <c r="C45" s="2" t="s">
        <v>93</v>
      </c>
      <c r="D45" s="6" t="s">
        <v>102</v>
      </c>
      <c r="E45" s="6">
        <v>5</v>
      </c>
      <c r="F45" s="6" t="s">
        <v>103</v>
      </c>
      <c r="G45" s="6" t="s">
        <v>21</v>
      </c>
      <c r="H45" s="6">
        <v>250.5</v>
      </c>
      <c r="I45" s="7">
        <v>500</v>
      </c>
      <c r="J45" s="2" t="s">
        <v>104</v>
      </c>
      <c r="K45" s="2" t="s">
        <v>199</v>
      </c>
      <c r="L45" s="6"/>
      <c r="M45" s="6" t="str">
        <f t="shared" si="1"/>
        <v>No</v>
      </c>
      <c r="N45" s="2" t="s">
        <v>200</v>
      </c>
      <c r="O45" s="6" t="s">
        <v>107</v>
      </c>
      <c r="P45" s="8" t="s">
        <v>25</v>
      </c>
      <c r="Q45" s="6" t="s">
        <v>108</v>
      </c>
    </row>
    <row r="46" spans="1:17" x14ac:dyDescent="0.3">
      <c r="A46" s="6">
        <v>45</v>
      </c>
      <c r="B46" s="2" t="s">
        <v>201</v>
      </c>
      <c r="C46" s="2" t="s">
        <v>93</v>
      </c>
      <c r="D46" s="6" t="s">
        <v>202</v>
      </c>
      <c r="E46" s="6">
        <v>5</v>
      </c>
      <c r="F46" s="6" t="s">
        <v>103</v>
      </c>
      <c r="G46" s="6" t="s">
        <v>21</v>
      </c>
      <c r="H46" s="6">
        <v>1000.5</v>
      </c>
      <c r="I46" s="7">
        <v>360</v>
      </c>
      <c r="J46" s="2" t="s">
        <v>104</v>
      </c>
      <c r="K46" s="2" t="s">
        <v>203</v>
      </c>
      <c r="L46" s="6"/>
      <c r="M46" s="6" t="str">
        <f t="shared" si="1"/>
        <v>No</v>
      </c>
      <c r="N46" s="2" t="s">
        <v>204</v>
      </c>
      <c r="O46" s="6" t="s">
        <v>205</v>
      </c>
      <c r="P46" s="8" t="s">
        <v>25</v>
      </c>
      <c r="Q46" s="6" t="s">
        <v>108</v>
      </c>
    </row>
    <row r="47" spans="1:17" ht="28.8" customHeight="1" x14ac:dyDescent="0.3">
      <c r="A47" s="6">
        <v>46</v>
      </c>
      <c r="B47" s="2" t="s">
        <v>206</v>
      </c>
      <c r="C47" s="2" t="s">
        <v>52</v>
      </c>
      <c r="D47" s="6" t="s">
        <v>19</v>
      </c>
      <c r="E47" s="6">
        <v>4</v>
      </c>
      <c r="F47" s="6" t="s">
        <v>20</v>
      </c>
      <c r="G47" s="6" t="s">
        <v>21</v>
      </c>
      <c r="H47" s="6">
        <v>0</v>
      </c>
      <c r="I47" s="7">
        <v>0</v>
      </c>
      <c r="J47" s="2" t="s">
        <v>22</v>
      </c>
      <c r="K47" s="2" t="s">
        <v>207</v>
      </c>
      <c r="L47" s="6" t="s">
        <v>23</v>
      </c>
      <c r="M47" s="6" t="str">
        <f t="shared" si="1"/>
        <v>Yes</v>
      </c>
      <c r="N47" s="2" t="s">
        <v>208</v>
      </c>
      <c r="O47" s="6"/>
      <c r="P47" s="8" t="s">
        <v>25</v>
      </c>
      <c r="Q47" s="6" t="s">
        <v>26</v>
      </c>
    </row>
    <row r="48" spans="1:17" ht="43.2" customHeight="1" x14ac:dyDescent="0.3">
      <c r="A48" s="6">
        <v>47</v>
      </c>
      <c r="B48" s="2" t="s">
        <v>209</v>
      </c>
      <c r="C48" s="2" t="s">
        <v>141</v>
      </c>
      <c r="D48" s="6" t="s">
        <v>82</v>
      </c>
      <c r="E48" s="6">
        <v>4</v>
      </c>
      <c r="F48" s="6" t="s">
        <v>20</v>
      </c>
      <c r="G48" s="6" t="s">
        <v>21</v>
      </c>
      <c r="H48" s="6">
        <v>0</v>
      </c>
      <c r="I48" s="7">
        <v>0</v>
      </c>
      <c r="J48" s="2" t="s">
        <v>210</v>
      </c>
      <c r="K48" s="2" t="s">
        <v>211</v>
      </c>
      <c r="L48" s="6" t="s">
        <v>23</v>
      </c>
      <c r="M48" s="6" t="str">
        <f t="shared" si="1"/>
        <v>Yes</v>
      </c>
      <c r="N48" s="2" t="s">
        <v>212</v>
      </c>
      <c r="O48" s="6"/>
      <c r="P48" s="8" t="s">
        <v>25</v>
      </c>
      <c r="Q48" s="6" t="s">
        <v>26</v>
      </c>
    </row>
    <row r="49" spans="1:17" ht="43.2" customHeight="1" x14ac:dyDescent="0.3">
      <c r="A49" s="6">
        <v>48</v>
      </c>
      <c r="B49" s="2" t="s">
        <v>213</v>
      </c>
      <c r="C49" s="2" t="s">
        <v>141</v>
      </c>
      <c r="D49" s="6" t="s">
        <v>82</v>
      </c>
      <c r="E49" s="6">
        <v>4</v>
      </c>
      <c r="F49" s="6" t="s">
        <v>20</v>
      </c>
      <c r="G49" s="6" t="s">
        <v>21</v>
      </c>
      <c r="H49" s="6">
        <v>0</v>
      </c>
      <c r="I49" s="7">
        <v>0</v>
      </c>
      <c r="J49" s="2" t="s">
        <v>210</v>
      </c>
      <c r="K49" s="2" t="s">
        <v>214</v>
      </c>
      <c r="L49" s="6" t="s">
        <v>23</v>
      </c>
      <c r="M49" s="6" t="str">
        <f t="shared" si="1"/>
        <v>Yes</v>
      </c>
      <c r="N49" s="2" t="s">
        <v>212</v>
      </c>
      <c r="O49" s="6"/>
      <c r="P49" s="8" t="s">
        <v>25</v>
      </c>
      <c r="Q49" s="6" t="s">
        <v>26</v>
      </c>
    </row>
    <row r="50" spans="1:17" ht="43.2" customHeight="1" x14ac:dyDescent="0.3">
      <c r="A50" s="6">
        <v>49</v>
      </c>
      <c r="B50" s="2" t="s">
        <v>215</v>
      </c>
      <c r="C50" s="2" t="s">
        <v>171</v>
      </c>
      <c r="D50" s="6" t="s">
        <v>216</v>
      </c>
      <c r="E50" s="6">
        <v>4</v>
      </c>
      <c r="F50" s="6" t="s">
        <v>20</v>
      </c>
      <c r="G50" s="6" t="s">
        <v>21</v>
      </c>
      <c r="H50" s="6">
        <v>150</v>
      </c>
      <c r="I50" s="7">
        <v>0</v>
      </c>
      <c r="J50" s="2" t="s">
        <v>217</v>
      </c>
      <c r="K50" s="2" t="s">
        <v>214</v>
      </c>
      <c r="L50" s="6" t="s">
        <v>23</v>
      </c>
      <c r="M50" s="6" t="str">
        <f t="shared" si="1"/>
        <v>No</v>
      </c>
      <c r="N50" s="2" t="s">
        <v>218</v>
      </c>
      <c r="O50" s="6"/>
      <c r="P50" s="8" t="s">
        <v>25</v>
      </c>
      <c r="Q50" s="6" t="s">
        <v>26</v>
      </c>
    </row>
    <row r="51" spans="1:17" ht="28.8" customHeight="1" x14ac:dyDescent="0.3">
      <c r="A51" s="6">
        <v>50</v>
      </c>
      <c r="B51" s="2" t="s">
        <v>219</v>
      </c>
      <c r="C51" s="2" t="s">
        <v>18</v>
      </c>
      <c r="D51" s="6" t="s">
        <v>19</v>
      </c>
      <c r="E51" s="6">
        <v>4</v>
      </c>
      <c r="F51" s="6" t="s">
        <v>20</v>
      </c>
      <c r="G51" s="6" t="s">
        <v>21</v>
      </c>
      <c r="H51" s="6">
        <v>0</v>
      </c>
      <c r="I51" s="7">
        <v>0</v>
      </c>
      <c r="J51" s="2" t="s">
        <v>22</v>
      </c>
      <c r="K51" s="2" t="s">
        <v>220</v>
      </c>
      <c r="L51" s="6" t="s">
        <v>23</v>
      </c>
      <c r="M51" s="6" t="str">
        <f t="shared" si="1"/>
        <v>Yes</v>
      </c>
      <c r="N51" s="2" t="s">
        <v>221</v>
      </c>
      <c r="O51" s="6"/>
      <c r="P51" s="8" t="s">
        <v>25</v>
      </c>
      <c r="Q51" s="6" t="s">
        <v>26</v>
      </c>
    </row>
    <row r="52" spans="1:17" ht="28.8" customHeight="1" x14ac:dyDescent="0.3">
      <c r="A52" s="6">
        <v>51</v>
      </c>
      <c r="B52" s="2" t="s">
        <v>222</v>
      </c>
      <c r="C52" s="2" t="s">
        <v>45</v>
      </c>
      <c r="D52" s="6" t="s">
        <v>46</v>
      </c>
      <c r="E52" s="6">
        <v>4</v>
      </c>
      <c r="F52" s="6" t="s">
        <v>47</v>
      </c>
      <c r="G52" s="6" t="s">
        <v>21</v>
      </c>
      <c r="H52" s="6">
        <v>450</v>
      </c>
      <c r="I52" s="7">
        <v>300</v>
      </c>
      <c r="J52" s="2" t="s">
        <v>223</v>
      </c>
      <c r="K52" s="2" t="s">
        <v>224</v>
      </c>
      <c r="L52" s="6" t="s">
        <v>42</v>
      </c>
      <c r="M52" s="6" t="str">
        <f t="shared" si="1"/>
        <v>Yes</v>
      </c>
      <c r="N52" s="2" t="s">
        <v>225</v>
      </c>
      <c r="O52" s="6"/>
      <c r="P52" s="8" t="s">
        <v>25</v>
      </c>
      <c r="Q52" s="6" t="s">
        <v>26</v>
      </c>
    </row>
    <row r="53" spans="1:17" ht="57.6" customHeight="1" x14ac:dyDescent="0.3">
      <c r="A53" s="6">
        <v>52</v>
      </c>
      <c r="B53" s="2" t="s">
        <v>226</v>
      </c>
      <c r="C53" s="2" t="s">
        <v>45</v>
      </c>
      <c r="D53" s="6" t="s">
        <v>46</v>
      </c>
      <c r="E53" s="6">
        <v>4</v>
      </c>
      <c r="F53" s="6" t="s">
        <v>47</v>
      </c>
      <c r="G53" s="6" t="s">
        <v>21</v>
      </c>
      <c r="H53" s="6">
        <v>450</v>
      </c>
      <c r="I53" s="7">
        <v>450</v>
      </c>
      <c r="J53" s="2" t="s">
        <v>223</v>
      </c>
      <c r="K53" s="2" t="s">
        <v>227</v>
      </c>
      <c r="L53" s="6" t="s">
        <v>23</v>
      </c>
      <c r="M53" s="6" t="str">
        <f t="shared" si="1"/>
        <v>Yes</v>
      </c>
      <c r="N53" s="2" t="s">
        <v>228</v>
      </c>
      <c r="O53" s="6"/>
      <c r="P53" s="8" t="s">
        <v>25</v>
      </c>
      <c r="Q53" s="6" t="s">
        <v>26</v>
      </c>
    </row>
    <row r="54" spans="1:17" ht="43.2" customHeight="1" x14ac:dyDescent="0.3">
      <c r="A54" s="6">
        <v>53</v>
      </c>
      <c r="B54" s="2" t="s">
        <v>185</v>
      </c>
      <c r="C54" s="2" t="s">
        <v>141</v>
      </c>
      <c r="D54" s="6" t="s">
        <v>82</v>
      </c>
      <c r="E54" s="6">
        <v>4</v>
      </c>
      <c r="F54" s="6" t="s">
        <v>20</v>
      </c>
      <c r="G54" s="6" t="s">
        <v>21</v>
      </c>
      <c r="H54" s="6">
        <v>0</v>
      </c>
      <c r="I54" s="7">
        <v>0</v>
      </c>
      <c r="J54" s="2" t="s">
        <v>210</v>
      </c>
      <c r="K54" s="2" t="s">
        <v>229</v>
      </c>
      <c r="L54" s="6" t="s">
        <v>23</v>
      </c>
      <c r="M54" s="6" t="str">
        <f t="shared" si="1"/>
        <v>Yes</v>
      </c>
      <c r="N54" s="2" t="s">
        <v>212</v>
      </c>
      <c r="O54" s="6"/>
      <c r="P54" s="8" t="s">
        <v>25</v>
      </c>
      <c r="Q54" s="6" t="s">
        <v>26</v>
      </c>
    </row>
    <row r="55" spans="1:17" ht="28.8" customHeight="1" x14ac:dyDescent="0.3">
      <c r="A55" s="6">
        <v>54</v>
      </c>
      <c r="B55" s="2" t="s">
        <v>230</v>
      </c>
      <c r="C55" s="2" t="s">
        <v>231</v>
      </c>
      <c r="D55" s="6" t="s">
        <v>232</v>
      </c>
      <c r="E55" s="6">
        <v>3</v>
      </c>
      <c r="F55" s="6" t="s">
        <v>233</v>
      </c>
      <c r="G55" s="6" t="s">
        <v>86</v>
      </c>
      <c r="H55" s="6">
        <v>1000</v>
      </c>
      <c r="I55" s="7">
        <v>600</v>
      </c>
      <c r="J55" s="2" t="s">
        <v>87</v>
      </c>
      <c r="K55" s="2" t="s">
        <v>234</v>
      </c>
      <c r="L55" s="6" t="s">
        <v>23</v>
      </c>
      <c r="M55" s="6" t="str">
        <f t="shared" si="1"/>
        <v>Yes</v>
      </c>
      <c r="N55" s="2" t="s">
        <v>235</v>
      </c>
      <c r="O55" s="6"/>
      <c r="P55" s="8" t="s">
        <v>25</v>
      </c>
      <c r="Q55" s="6" t="s">
        <v>26</v>
      </c>
    </row>
    <row r="56" spans="1:17" ht="43.2" customHeight="1" x14ac:dyDescent="0.3">
      <c r="A56" s="6">
        <v>55</v>
      </c>
      <c r="B56" s="2" t="s">
        <v>236</v>
      </c>
      <c r="C56" s="2" t="s">
        <v>141</v>
      </c>
      <c r="D56" s="6" t="s">
        <v>82</v>
      </c>
      <c r="E56" s="6">
        <v>3</v>
      </c>
      <c r="F56" s="6" t="s">
        <v>20</v>
      </c>
      <c r="G56" s="6" t="s">
        <v>21</v>
      </c>
      <c r="H56" s="6">
        <v>0</v>
      </c>
      <c r="I56" s="7">
        <v>0</v>
      </c>
      <c r="J56" s="2" t="s">
        <v>210</v>
      </c>
      <c r="K56" s="2" t="s">
        <v>237</v>
      </c>
      <c r="L56" s="6" t="s">
        <v>23</v>
      </c>
      <c r="M56" s="6" t="str">
        <f t="shared" si="1"/>
        <v>Yes</v>
      </c>
      <c r="N56" s="2" t="s">
        <v>212</v>
      </c>
      <c r="O56" s="6"/>
      <c r="P56" s="8" t="s">
        <v>25</v>
      </c>
      <c r="Q56" s="6" t="s">
        <v>26</v>
      </c>
    </row>
    <row r="57" spans="1:17" ht="43.2" customHeight="1" x14ac:dyDescent="0.3">
      <c r="A57" s="6">
        <v>56</v>
      </c>
      <c r="B57" s="2" t="s">
        <v>238</v>
      </c>
      <c r="C57" s="2" t="s">
        <v>231</v>
      </c>
      <c r="D57" s="6" t="s">
        <v>239</v>
      </c>
      <c r="E57" s="6">
        <v>3</v>
      </c>
      <c r="F57" s="6" t="s">
        <v>233</v>
      </c>
      <c r="G57" s="6" t="s">
        <v>86</v>
      </c>
      <c r="H57" s="6">
        <v>1000</v>
      </c>
      <c r="I57" s="7">
        <v>1016</v>
      </c>
      <c r="J57" s="2" t="s">
        <v>87</v>
      </c>
      <c r="K57" s="2" t="s">
        <v>240</v>
      </c>
      <c r="L57" s="6" t="s">
        <v>23</v>
      </c>
      <c r="M57" s="6" t="str">
        <f t="shared" si="1"/>
        <v>Yes</v>
      </c>
      <c r="N57" s="2" t="s">
        <v>241</v>
      </c>
      <c r="O57" s="6"/>
      <c r="P57" s="8" t="s">
        <v>25</v>
      </c>
      <c r="Q57" s="6" t="s">
        <v>26</v>
      </c>
    </row>
    <row r="58" spans="1:17" ht="28.8" customHeight="1" x14ac:dyDescent="0.3">
      <c r="A58" s="6">
        <v>57</v>
      </c>
      <c r="B58" s="2" t="s">
        <v>242</v>
      </c>
      <c r="C58" s="2" t="s">
        <v>171</v>
      </c>
      <c r="D58" s="6" t="s">
        <v>172</v>
      </c>
      <c r="E58" s="6">
        <v>3</v>
      </c>
      <c r="F58" s="6" t="s">
        <v>20</v>
      </c>
      <c r="G58" s="6" t="s">
        <v>21</v>
      </c>
      <c r="H58" s="6">
        <v>150</v>
      </c>
      <c r="I58" s="7">
        <v>0</v>
      </c>
      <c r="J58" s="2" t="s">
        <v>22</v>
      </c>
      <c r="K58" s="2" t="s">
        <v>243</v>
      </c>
      <c r="L58" s="6" t="s">
        <v>23</v>
      </c>
      <c r="M58" s="6" t="str">
        <f t="shared" si="1"/>
        <v>No</v>
      </c>
      <c r="N58" s="2" t="s">
        <v>244</v>
      </c>
      <c r="O58" s="6"/>
      <c r="P58" s="8" t="s">
        <v>25</v>
      </c>
      <c r="Q58" s="6" t="s">
        <v>26</v>
      </c>
    </row>
    <row r="59" spans="1:17" ht="57.6" customHeight="1" x14ac:dyDescent="0.3">
      <c r="A59" s="6">
        <v>58</v>
      </c>
      <c r="B59" s="2" t="s">
        <v>245</v>
      </c>
      <c r="C59" s="2" t="s">
        <v>246</v>
      </c>
      <c r="D59" s="6" t="s">
        <v>39</v>
      </c>
      <c r="E59" s="6">
        <v>3</v>
      </c>
      <c r="F59" s="6" t="s">
        <v>233</v>
      </c>
      <c r="G59" s="6" t="s">
        <v>86</v>
      </c>
      <c r="H59" s="6">
        <v>1800</v>
      </c>
      <c r="I59" s="7">
        <v>1800</v>
      </c>
      <c r="J59" s="2" t="s">
        <v>87</v>
      </c>
      <c r="K59" s="2" t="s">
        <v>247</v>
      </c>
      <c r="L59" s="6" t="s">
        <v>23</v>
      </c>
      <c r="M59" s="6" t="str">
        <f t="shared" si="1"/>
        <v>Yes</v>
      </c>
      <c r="N59" s="2" t="s">
        <v>248</v>
      </c>
      <c r="O59" s="6"/>
      <c r="P59" s="8" t="s">
        <v>25</v>
      </c>
      <c r="Q59" s="6" t="s">
        <v>26</v>
      </c>
    </row>
    <row r="60" spans="1:17" ht="43.2" customHeight="1" x14ac:dyDescent="0.3">
      <c r="A60" s="6">
        <v>59</v>
      </c>
      <c r="B60" s="2" t="s">
        <v>249</v>
      </c>
      <c r="C60" s="2" t="s">
        <v>18</v>
      </c>
      <c r="D60" s="6" t="s">
        <v>56</v>
      </c>
      <c r="E60" s="6">
        <v>3</v>
      </c>
      <c r="F60" s="6" t="s">
        <v>40</v>
      </c>
      <c r="G60" s="6" t="s">
        <v>21</v>
      </c>
      <c r="H60" s="6">
        <v>450</v>
      </c>
      <c r="I60" s="7">
        <v>50</v>
      </c>
      <c r="J60" s="2" t="s">
        <v>34</v>
      </c>
      <c r="K60" s="2" t="s">
        <v>250</v>
      </c>
      <c r="L60" s="6" t="s">
        <v>23</v>
      </c>
      <c r="M60" s="6" t="str">
        <f t="shared" si="1"/>
        <v>No</v>
      </c>
      <c r="N60" s="2" t="s">
        <v>251</v>
      </c>
      <c r="O60" s="6"/>
      <c r="P60" s="8" t="s">
        <v>25</v>
      </c>
      <c r="Q60" s="6" t="s">
        <v>26</v>
      </c>
    </row>
    <row r="61" spans="1:17" ht="28.8" customHeight="1" x14ac:dyDescent="0.3">
      <c r="A61" s="6">
        <v>60</v>
      </c>
      <c r="B61" s="2" t="s">
        <v>252</v>
      </c>
      <c r="C61" s="2" t="s">
        <v>171</v>
      </c>
      <c r="D61" s="6" t="s">
        <v>253</v>
      </c>
      <c r="E61" s="6">
        <v>3</v>
      </c>
      <c r="F61" s="6" t="s">
        <v>40</v>
      </c>
      <c r="G61" s="6" t="s">
        <v>21</v>
      </c>
      <c r="H61" s="6">
        <v>150</v>
      </c>
      <c r="I61" s="7">
        <v>700</v>
      </c>
      <c r="J61" s="2" t="s">
        <v>254</v>
      </c>
      <c r="K61" s="2" t="s">
        <v>255</v>
      </c>
      <c r="L61" s="6" t="s">
        <v>23</v>
      </c>
      <c r="M61" s="6" t="str">
        <f t="shared" si="1"/>
        <v>No</v>
      </c>
      <c r="N61" s="2" t="s">
        <v>256</v>
      </c>
      <c r="O61" s="6"/>
      <c r="P61" s="8" t="s">
        <v>25</v>
      </c>
      <c r="Q61" s="6" t="s">
        <v>26</v>
      </c>
    </row>
    <row r="62" spans="1:17" ht="43.2" customHeight="1" x14ac:dyDescent="0.3">
      <c r="A62" s="6">
        <v>61</v>
      </c>
      <c r="B62" s="2" t="s">
        <v>257</v>
      </c>
      <c r="C62" s="2" t="s">
        <v>171</v>
      </c>
      <c r="D62" s="6" t="s">
        <v>172</v>
      </c>
      <c r="E62" s="6">
        <v>3</v>
      </c>
      <c r="F62" s="6" t="s">
        <v>20</v>
      </c>
      <c r="G62" s="6" t="s">
        <v>21</v>
      </c>
      <c r="H62" s="6">
        <v>150</v>
      </c>
      <c r="I62" s="7">
        <v>0</v>
      </c>
      <c r="J62" s="2" t="s">
        <v>22</v>
      </c>
      <c r="K62" s="2" t="s">
        <v>258</v>
      </c>
      <c r="L62" s="6"/>
      <c r="M62" s="6" t="str">
        <f t="shared" si="1"/>
        <v>No</v>
      </c>
      <c r="N62" s="2" t="s">
        <v>259</v>
      </c>
      <c r="O62" s="6"/>
      <c r="P62" s="8" t="s">
        <v>25</v>
      </c>
      <c r="Q62" s="6" t="s">
        <v>26</v>
      </c>
    </row>
    <row r="63" spans="1:17" ht="43.2" customHeight="1" x14ac:dyDescent="0.3">
      <c r="A63" s="6">
        <v>62</v>
      </c>
      <c r="B63" s="2" t="s">
        <v>260</v>
      </c>
      <c r="C63" s="2" t="s">
        <v>261</v>
      </c>
      <c r="D63" s="6" t="s">
        <v>239</v>
      </c>
      <c r="E63" s="6">
        <v>3</v>
      </c>
      <c r="F63" s="6" t="s">
        <v>233</v>
      </c>
      <c r="G63" s="6" t="s">
        <v>86</v>
      </c>
      <c r="H63" s="6">
        <v>2500</v>
      </c>
      <c r="I63" s="7">
        <v>3618</v>
      </c>
      <c r="J63" s="2" t="s">
        <v>87</v>
      </c>
      <c r="K63" s="2" t="s">
        <v>262</v>
      </c>
      <c r="L63" s="6" t="s">
        <v>23</v>
      </c>
      <c r="M63" s="6" t="str">
        <f t="shared" si="1"/>
        <v>Yes</v>
      </c>
      <c r="N63" s="2" t="s">
        <v>263</v>
      </c>
      <c r="O63" s="6"/>
      <c r="P63" s="8" t="s">
        <v>25</v>
      </c>
      <c r="Q63" s="6" t="s">
        <v>26</v>
      </c>
    </row>
    <row r="64" spans="1:17" ht="43.2" customHeight="1" x14ac:dyDescent="0.3">
      <c r="A64" s="6">
        <v>63</v>
      </c>
      <c r="B64" s="2" t="s">
        <v>264</v>
      </c>
      <c r="C64" s="2" t="s">
        <v>231</v>
      </c>
      <c r="D64" s="6" t="s">
        <v>239</v>
      </c>
      <c r="E64" s="6">
        <v>3</v>
      </c>
      <c r="F64" s="6" t="s">
        <v>233</v>
      </c>
      <c r="G64" s="6" t="s">
        <v>86</v>
      </c>
      <c r="H64" s="6">
        <v>1000</v>
      </c>
      <c r="I64" s="7">
        <v>4264</v>
      </c>
      <c r="J64" s="2" t="s">
        <v>87</v>
      </c>
      <c r="K64" s="2" t="s">
        <v>265</v>
      </c>
      <c r="L64" s="6" t="s">
        <v>23</v>
      </c>
      <c r="M64" s="6" t="str">
        <f t="shared" si="1"/>
        <v>No</v>
      </c>
      <c r="N64" s="2" t="s">
        <v>266</v>
      </c>
      <c r="O64" s="6"/>
      <c r="P64" s="8" t="s">
        <v>25</v>
      </c>
      <c r="Q64" s="6" t="s">
        <v>26</v>
      </c>
    </row>
    <row r="65" spans="1:17" ht="28.8" customHeight="1" x14ac:dyDescent="0.3">
      <c r="A65" s="6">
        <v>64</v>
      </c>
      <c r="B65" s="2" t="s">
        <v>267</v>
      </c>
      <c r="C65" s="2" t="s">
        <v>171</v>
      </c>
      <c r="D65" s="6" t="s">
        <v>172</v>
      </c>
      <c r="E65" s="6">
        <v>3</v>
      </c>
      <c r="F65" s="6" t="s">
        <v>20</v>
      </c>
      <c r="G65" s="6" t="s">
        <v>21</v>
      </c>
      <c r="H65" s="6">
        <v>150</v>
      </c>
      <c r="I65" s="7">
        <v>0</v>
      </c>
      <c r="J65" s="2" t="s">
        <v>22</v>
      </c>
      <c r="K65" s="2" t="s">
        <v>268</v>
      </c>
      <c r="L65" s="6" t="s">
        <v>23</v>
      </c>
      <c r="M65" s="6" t="str">
        <f t="shared" si="1"/>
        <v>No</v>
      </c>
      <c r="N65" s="2" t="s">
        <v>269</v>
      </c>
      <c r="O65" s="6"/>
      <c r="P65" s="8" t="s">
        <v>25</v>
      </c>
      <c r="Q65" s="6" t="s">
        <v>26</v>
      </c>
    </row>
    <row r="66" spans="1:17" ht="43.2" customHeight="1" x14ac:dyDescent="0.3">
      <c r="A66" s="6">
        <v>65</v>
      </c>
      <c r="B66" s="2" t="s">
        <v>270</v>
      </c>
      <c r="C66" s="2" t="s">
        <v>171</v>
      </c>
      <c r="D66" s="6" t="s">
        <v>172</v>
      </c>
      <c r="E66" s="6">
        <v>3</v>
      </c>
      <c r="F66" s="6" t="s">
        <v>20</v>
      </c>
      <c r="G66" s="6" t="s">
        <v>21</v>
      </c>
      <c r="H66" s="6">
        <v>150</v>
      </c>
      <c r="I66" s="7">
        <v>0</v>
      </c>
      <c r="J66" s="2" t="s">
        <v>22</v>
      </c>
      <c r="K66" s="2" t="s">
        <v>271</v>
      </c>
      <c r="L66" s="6" t="s">
        <v>23</v>
      </c>
      <c r="M66" s="6" t="str">
        <f t="shared" ref="M66:M97" si="2">IF(I66="","",IF(ABS(I66-H66)&lt;=MAX(50,0.5*H66),"Yes","No"))</f>
        <v>No</v>
      </c>
      <c r="N66" s="2" t="s">
        <v>272</v>
      </c>
      <c r="O66" s="6"/>
      <c r="P66" s="8" t="s">
        <v>25</v>
      </c>
      <c r="Q66" s="6" t="s">
        <v>26</v>
      </c>
    </row>
    <row r="67" spans="1:17" ht="43.2" customHeight="1" x14ac:dyDescent="0.3">
      <c r="A67" s="6">
        <v>66</v>
      </c>
      <c r="B67" s="2" t="s">
        <v>273</v>
      </c>
      <c r="C67" s="2" t="s">
        <v>141</v>
      </c>
      <c r="D67" s="6" t="s">
        <v>176</v>
      </c>
      <c r="E67" s="6">
        <v>3</v>
      </c>
      <c r="F67" s="6" t="s">
        <v>20</v>
      </c>
      <c r="G67" s="6" t="s">
        <v>21</v>
      </c>
      <c r="H67" s="6">
        <v>150</v>
      </c>
      <c r="I67" s="7">
        <v>0</v>
      </c>
      <c r="J67" s="2" t="s">
        <v>22</v>
      </c>
      <c r="K67" s="2" t="s">
        <v>274</v>
      </c>
      <c r="L67" s="6" t="s">
        <v>23</v>
      </c>
      <c r="M67" s="6" t="str">
        <f t="shared" si="2"/>
        <v>No</v>
      </c>
      <c r="N67" s="2" t="s">
        <v>275</v>
      </c>
      <c r="O67" s="6"/>
      <c r="P67" s="8" t="s">
        <v>25</v>
      </c>
      <c r="Q67" s="6" t="s">
        <v>26</v>
      </c>
    </row>
    <row r="68" spans="1:17" ht="28.8" customHeight="1" x14ac:dyDescent="0.3">
      <c r="A68" s="6">
        <v>67</v>
      </c>
      <c r="B68" s="2" t="s">
        <v>276</v>
      </c>
      <c r="C68" s="2" t="s">
        <v>171</v>
      </c>
      <c r="D68" s="6" t="s">
        <v>172</v>
      </c>
      <c r="E68" s="6">
        <v>3</v>
      </c>
      <c r="F68" s="6" t="s">
        <v>20</v>
      </c>
      <c r="G68" s="6" t="s">
        <v>21</v>
      </c>
      <c r="H68" s="6">
        <v>150</v>
      </c>
      <c r="I68" s="7">
        <v>0</v>
      </c>
      <c r="J68" s="2" t="s">
        <v>22</v>
      </c>
      <c r="K68" s="2" t="s">
        <v>277</v>
      </c>
      <c r="L68" s="6" t="s">
        <v>42</v>
      </c>
      <c r="M68" s="6" t="str">
        <f t="shared" si="2"/>
        <v>No</v>
      </c>
      <c r="N68" s="2" t="s">
        <v>278</v>
      </c>
      <c r="O68" s="6"/>
      <c r="P68" s="8" t="s">
        <v>25</v>
      </c>
      <c r="Q68" s="6" t="s">
        <v>26</v>
      </c>
    </row>
    <row r="69" spans="1:17" ht="57.6" customHeight="1" x14ac:dyDescent="0.3">
      <c r="A69" s="6">
        <v>68</v>
      </c>
      <c r="B69" s="2" t="s">
        <v>279</v>
      </c>
      <c r="C69" s="2" t="s">
        <v>171</v>
      </c>
      <c r="D69" s="6" t="s">
        <v>172</v>
      </c>
      <c r="E69" s="6">
        <v>3</v>
      </c>
      <c r="F69" s="6" t="s">
        <v>20</v>
      </c>
      <c r="G69" s="6" t="s">
        <v>21</v>
      </c>
      <c r="H69" s="6">
        <v>150</v>
      </c>
      <c r="I69" s="7">
        <v>0</v>
      </c>
      <c r="J69" s="2" t="s">
        <v>22</v>
      </c>
      <c r="K69" s="2" t="s">
        <v>280</v>
      </c>
      <c r="L69" s="6" t="s">
        <v>42</v>
      </c>
      <c r="M69" s="6" t="str">
        <f t="shared" si="2"/>
        <v>No</v>
      </c>
      <c r="N69" s="2" t="s">
        <v>281</v>
      </c>
      <c r="O69" s="6"/>
      <c r="P69" s="8" t="s">
        <v>25</v>
      </c>
      <c r="Q69" s="6" t="s">
        <v>26</v>
      </c>
    </row>
    <row r="70" spans="1:17" ht="43.2" customHeight="1" x14ac:dyDescent="0.3">
      <c r="A70" s="6">
        <v>69</v>
      </c>
      <c r="B70" s="2" t="s">
        <v>282</v>
      </c>
      <c r="C70" s="2" t="s">
        <v>231</v>
      </c>
      <c r="D70" s="6" t="s">
        <v>239</v>
      </c>
      <c r="E70" s="6">
        <v>3</v>
      </c>
      <c r="F70" s="6" t="s">
        <v>233</v>
      </c>
      <c r="G70" s="6" t="s">
        <v>86</v>
      </c>
      <c r="H70" s="6">
        <v>2500</v>
      </c>
      <c r="I70" s="7">
        <v>2176</v>
      </c>
      <c r="J70" s="2" t="s">
        <v>87</v>
      </c>
      <c r="K70" s="2" t="s">
        <v>283</v>
      </c>
      <c r="L70" s="6" t="s">
        <v>23</v>
      </c>
      <c r="M70" s="6" t="str">
        <f t="shared" si="2"/>
        <v>Yes</v>
      </c>
      <c r="N70" s="2" t="s">
        <v>284</v>
      </c>
      <c r="O70" s="6"/>
      <c r="P70" s="8" t="s">
        <v>25</v>
      </c>
      <c r="Q70" s="6" t="s">
        <v>26</v>
      </c>
    </row>
    <row r="71" spans="1:17" ht="28.8" customHeight="1" x14ac:dyDescent="0.3">
      <c r="A71" s="6">
        <v>70</v>
      </c>
      <c r="B71" s="2" t="s">
        <v>285</v>
      </c>
      <c r="C71" s="2" t="s">
        <v>81</v>
      </c>
      <c r="D71" s="6" t="s">
        <v>286</v>
      </c>
      <c r="E71" s="6">
        <v>3</v>
      </c>
      <c r="F71" s="6" t="s">
        <v>20</v>
      </c>
      <c r="G71" s="6" t="s">
        <v>21</v>
      </c>
      <c r="H71" s="6">
        <v>0</v>
      </c>
      <c r="I71" s="7">
        <v>0</v>
      </c>
      <c r="J71" s="2" t="s">
        <v>22</v>
      </c>
      <c r="K71" s="2" t="s">
        <v>287</v>
      </c>
      <c r="L71" s="6" t="s">
        <v>23</v>
      </c>
      <c r="M71" s="6" t="str">
        <f t="shared" si="2"/>
        <v>Yes</v>
      </c>
      <c r="N71" s="2" t="s">
        <v>288</v>
      </c>
      <c r="O71" s="6"/>
      <c r="P71" s="8" t="s">
        <v>25</v>
      </c>
      <c r="Q71" s="6" t="s">
        <v>26</v>
      </c>
    </row>
    <row r="72" spans="1:17" ht="28.8" customHeight="1" x14ac:dyDescent="0.3">
      <c r="A72" s="6">
        <v>71</v>
      </c>
      <c r="B72" s="2" t="s">
        <v>289</v>
      </c>
      <c r="C72" s="2" t="s">
        <v>231</v>
      </c>
      <c r="D72" s="6" t="s">
        <v>232</v>
      </c>
      <c r="E72" s="6">
        <v>3</v>
      </c>
      <c r="F72" s="6" t="s">
        <v>233</v>
      </c>
      <c r="G72" s="6" t="s">
        <v>86</v>
      </c>
      <c r="H72" s="6">
        <v>1000</v>
      </c>
      <c r="I72" s="7">
        <v>1299</v>
      </c>
      <c r="J72" s="2" t="s">
        <v>87</v>
      </c>
      <c r="K72" s="2" t="s">
        <v>290</v>
      </c>
      <c r="L72" s="6" t="s">
        <v>23</v>
      </c>
      <c r="M72" s="6" t="str">
        <f t="shared" si="2"/>
        <v>Yes</v>
      </c>
      <c r="N72" s="2" t="s">
        <v>291</v>
      </c>
      <c r="O72" s="6"/>
      <c r="P72" s="8" t="s">
        <v>25</v>
      </c>
      <c r="Q72" s="6" t="s">
        <v>26</v>
      </c>
    </row>
    <row r="73" spans="1:17" ht="28.8" customHeight="1" x14ac:dyDescent="0.3">
      <c r="A73" s="6">
        <v>72</v>
      </c>
      <c r="B73" s="2" t="s">
        <v>292</v>
      </c>
      <c r="C73" s="2" t="s">
        <v>171</v>
      </c>
      <c r="D73" s="6" t="s">
        <v>172</v>
      </c>
      <c r="E73" s="6">
        <v>3</v>
      </c>
      <c r="F73" s="6" t="s">
        <v>20</v>
      </c>
      <c r="G73" s="6" t="s">
        <v>21</v>
      </c>
      <c r="H73" s="6">
        <v>150</v>
      </c>
      <c r="I73" s="7">
        <v>0</v>
      </c>
      <c r="J73" s="2" t="s">
        <v>22</v>
      </c>
      <c r="K73" s="2" t="s">
        <v>293</v>
      </c>
      <c r="L73" s="6" t="s">
        <v>23</v>
      </c>
      <c r="M73" s="6" t="str">
        <f t="shared" si="2"/>
        <v>No</v>
      </c>
      <c r="N73" s="2" t="s">
        <v>294</v>
      </c>
      <c r="O73" s="6"/>
      <c r="P73" s="8" t="s">
        <v>25</v>
      </c>
      <c r="Q73" s="6" t="s">
        <v>26</v>
      </c>
    </row>
    <row r="74" spans="1:17" ht="43.2" customHeight="1" x14ac:dyDescent="0.3">
      <c r="A74" s="6">
        <v>73</v>
      </c>
      <c r="B74" s="2" t="s">
        <v>295</v>
      </c>
      <c r="C74" s="2" t="s">
        <v>93</v>
      </c>
      <c r="D74" s="6" t="s">
        <v>102</v>
      </c>
      <c r="E74" s="6">
        <v>3</v>
      </c>
      <c r="F74" s="6" t="s">
        <v>103</v>
      </c>
      <c r="G74" s="6" t="s">
        <v>21</v>
      </c>
      <c r="H74" s="6">
        <v>750</v>
      </c>
      <c r="I74" s="7">
        <v>350</v>
      </c>
      <c r="J74" s="2" t="s">
        <v>104</v>
      </c>
      <c r="K74" s="2" t="s">
        <v>296</v>
      </c>
      <c r="L74" s="6"/>
      <c r="M74" s="6" t="str">
        <f t="shared" si="2"/>
        <v>No</v>
      </c>
      <c r="N74" s="2" t="s">
        <v>297</v>
      </c>
      <c r="O74" s="6" t="s">
        <v>298</v>
      </c>
      <c r="P74" s="8" t="s">
        <v>25</v>
      </c>
      <c r="Q74" s="6" t="s">
        <v>108</v>
      </c>
    </row>
    <row r="75" spans="1:17" ht="57.6" customHeight="1" x14ac:dyDescent="0.3">
      <c r="A75" s="6">
        <v>74</v>
      </c>
      <c r="B75" s="2" t="s">
        <v>299</v>
      </c>
      <c r="C75" s="2" t="s">
        <v>93</v>
      </c>
      <c r="D75" s="6" t="s">
        <v>102</v>
      </c>
      <c r="E75" s="6">
        <v>3</v>
      </c>
      <c r="F75" s="6" t="s">
        <v>103</v>
      </c>
      <c r="G75" s="6" t="s">
        <v>21</v>
      </c>
      <c r="H75" s="6">
        <v>250.5</v>
      </c>
      <c r="I75" s="7">
        <v>175</v>
      </c>
      <c r="J75" s="2" t="s">
        <v>104</v>
      </c>
      <c r="K75" s="2" t="s">
        <v>300</v>
      </c>
      <c r="L75" s="6"/>
      <c r="M75" s="6" t="str">
        <f t="shared" si="2"/>
        <v>Yes</v>
      </c>
      <c r="N75" s="2" t="s">
        <v>301</v>
      </c>
      <c r="O75" s="6" t="s">
        <v>107</v>
      </c>
      <c r="P75" s="8" t="s">
        <v>25</v>
      </c>
      <c r="Q75" s="6" t="s">
        <v>108</v>
      </c>
    </row>
    <row r="76" spans="1:17" x14ac:dyDescent="0.3">
      <c r="A76" s="6">
        <v>75</v>
      </c>
      <c r="B76" s="2" t="s">
        <v>302</v>
      </c>
      <c r="C76" s="2" t="s">
        <v>93</v>
      </c>
      <c r="D76" s="6" t="s">
        <v>303</v>
      </c>
      <c r="E76" s="6">
        <v>3</v>
      </c>
      <c r="F76" s="6" t="s">
        <v>103</v>
      </c>
      <c r="G76" s="6" t="s">
        <v>21</v>
      </c>
      <c r="H76" s="6">
        <v>750</v>
      </c>
      <c r="I76" s="7">
        <v>298</v>
      </c>
      <c r="J76" s="2" t="s">
        <v>104</v>
      </c>
      <c r="K76" s="2" t="s">
        <v>304</v>
      </c>
      <c r="L76" s="6"/>
      <c r="M76" s="6" t="str">
        <f t="shared" si="2"/>
        <v>No</v>
      </c>
      <c r="N76" s="2" t="s">
        <v>305</v>
      </c>
      <c r="O76" s="6" t="s">
        <v>298</v>
      </c>
      <c r="P76" s="8" t="s">
        <v>25</v>
      </c>
      <c r="Q76" s="6" t="s">
        <v>108</v>
      </c>
    </row>
    <row r="77" spans="1:17" x14ac:dyDescent="0.3">
      <c r="A77" s="6">
        <v>76</v>
      </c>
      <c r="B77" s="2" t="s">
        <v>306</v>
      </c>
      <c r="C77" s="2" t="s">
        <v>93</v>
      </c>
      <c r="D77" s="6" t="s">
        <v>102</v>
      </c>
      <c r="E77" s="6">
        <v>3</v>
      </c>
      <c r="F77" s="6" t="s">
        <v>103</v>
      </c>
      <c r="G77" s="6" t="s">
        <v>21</v>
      </c>
      <c r="H77" s="6">
        <v>750</v>
      </c>
      <c r="I77" s="7">
        <v>380</v>
      </c>
      <c r="J77" s="2" t="s">
        <v>104</v>
      </c>
      <c r="K77" s="2" t="s">
        <v>307</v>
      </c>
      <c r="L77" s="6"/>
      <c r="M77" s="6" t="str">
        <f t="shared" si="2"/>
        <v>Yes</v>
      </c>
      <c r="N77" s="2" t="s">
        <v>308</v>
      </c>
      <c r="O77" s="6" t="s">
        <v>298</v>
      </c>
      <c r="P77" s="8" t="s">
        <v>25</v>
      </c>
      <c r="Q77" s="6" t="s">
        <v>108</v>
      </c>
    </row>
    <row r="78" spans="1:17" x14ac:dyDescent="0.3">
      <c r="A78" s="6">
        <v>77</v>
      </c>
      <c r="B78" s="2" t="s">
        <v>309</v>
      </c>
      <c r="C78" s="2" t="s">
        <v>38</v>
      </c>
      <c r="D78" s="6" t="s">
        <v>102</v>
      </c>
      <c r="E78" s="6">
        <v>3</v>
      </c>
      <c r="F78" s="6" t="s">
        <v>103</v>
      </c>
      <c r="G78" s="6" t="s">
        <v>21</v>
      </c>
      <c r="H78" s="6">
        <v>250.5</v>
      </c>
      <c r="I78" s="7">
        <v>250</v>
      </c>
      <c r="J78" s="2" t="s">
        <v>104</v>
      </c>
      <c r="K78" s="2" t="s">
        <v>310</v>
      </c>
      <c r="L78" s="6"/>
      <c r="M78" s="6" t="str">
        <f t="shared" si="2"/>
        <v>Yes</v>
      </c>
      <c r="N78" s="2" t="s">
        <v>311</v>
      </c>
      <c r="O78" s="6" t="s">
        <v>107</v>
      </c>
      <c r="P78" s="8" t="s">
        <v>25</v>
      </c>
      <c r="Q78" s="6" t="s">
        <v>108</v>
      </c>
    </row>
    <row r="79" spans="1:17" ht="43.2" x14ac:dyDescent="0.3">
      <c r="A79" s="6">
        <v>78</v>
      </c>
      <c r="B79" s="2" t="s">
        <v>312</v>
      </c>
      <c r="C79" s="2" t="s">
        <v>141</v>
      </c>
      <c r="D79" s="6" t="s">
        <v>82</v>
      </c>
      <c r="E79" s="6">
        <v>2</v>
      </c>
      <c r="F79" s="6" t="s">
        <v>20</v>
      </c>
      <c r="G79" s="6" t="s">
        <v>21</v>
      </c>
      <c r="H79" s="6">
        <v>0</v>
      </c>
      <c r="I79" s="7">
        <v>0</v>
      </c>
      <c r="J79" s="2" t="s">
        <v>210</v>
      </c>
      <c r="K79" s="2" t="s">
        <v>313</v>
      </c>
      <c r="L79" s="6" t="s">
        <v>23</v>
      </c>
      <c r="M79" s="6" t="str">
        <f t="shared" si="2"/>
        <v>Yes</v>
      </c>
      <c r="N79" s="2" t="s">
        <v>212</v>
      </c>
      <c r="O79" s="6"/>
      <c r="P79" s="8" t="s">
        <v>25</v>
      </c>
      <c r="Q79" s="6" t="s">
        <v>26</v>
      </c>
    </row>
    <row r="80" spans="1:17" ht="43.2" customHeight="1" x14ac:dyDescent="0.3">
      <c r="A80" s="6">
        <v>79</v>
      </c>
      <c r="B80" s="2" t="s">
        <v>314</v>
      </c>
      <c r="C80" s="2" t="s">
        <v>141</v>
      </c>
      <c r="D80" s="6" t="s">
        <v>82</v>
      </c>
      <c r="E80" s="6">
        <v>2</v>
      </c>
      <c r="F80" s="6" t="s">
        <v>20</v>
      </c>
      <c r="G80" s="6" t="s">
        <v>21</v>
      </c>
      <c r="H80" s="6">
        <v>0</v>
      </c>
      <c r="I80" s="7">
        <v>0</v>
      </c>
      <c r="J80" s="2" t="s">
        <v>210</v>
      </c>
      <c r="K80" s="2" t="s">
        <v>315</v>
      </c>
      <c r="L80" s="6" t="s">
        <v>23</v>
      </c>
      <c r="M80" s="6" t="str">
        <f t="shared" si="2"/>
        <v>Yes</v>
      </c>
      <c r="N80" s="2" t="s">
        <v>212</v>
      </c>
      <c r="O80" s="6"/>
      <c r="P80" s="8" t="s">
        <v>25</v>
      </c>
      <c r="Q80" s="6" t="s">
        <v>26</v>
      </c>
    </row>
    <row r="81" spans="1:17" ht="43.2" customHeight="1" x14ac:dyDescent="0.3">
      <c r="A81" s="6">
        <v>80</v>
      </c>
      <c r="B81" s="2" t="s">
        <v>316</v>
      </c>
      <c r="C81" s="2" t="s">
        <v>52</v>
      </c>
      <c r="D81" s="6" t="s">
        <v>61</v>
      </c>
      <c r="E81" s="6">
        <v>2</v>
      </c>
      <c r="F81" s="6" t="s">
        <v>20</v>
      </c>
      <c r="G81" s="6" t="s">
        <v>21</v>
      </c>
      <c r="H81" s="6">
        <v>0</v>
      </c>
      <c r="I81" s="7">
        <v>0</v>
      </c>
      <c r="J81" s="2" t="s">
        <v>22</v>
      </c>
      <c r="K81" s="2" t="s">
        <v>317</v>
      </c>
      <c r="L81" s="6" t="s">
        <v>23</v>
      </c>
      <c r="M81" s="6" t="str">
        <f t="shared" si="2"/>
        <v>Yes</v>
      </c>
      <c r="N81" s="2" t="s">
        <v>318</v>
      </c>
      <c r="O81" s="6"/>
      <c r="P81" s="8" t="s">
        <v>25</v>
      </c>
      <c r="Q81" s="6" t="s">
        <v>26</v>
      </c>
    </row>
    <row r="82" spans="1:17" ht="28.8" customHeight="1" x14ac:dyDescent="0.3">
      <c r="A82" s="6">
        <v>81</v>
      </c>
      <c r="B82" s="2" t="s">
        <v>319</v>
      </c>
      <c r="C82" s="2" t="s">
        <v>261</v>
      </c>
      <c r="D82" s="6" t="s">
        <v>239</v>
      </c>
      <c r="E82" s="6">
        <v>2</v>
      </c>
      <c r="F82" s="6" t="s">
        <v>233</v>
      </c>
      <c r="G82" s="6" t="s">
        <v>86</v>
      </c>
      <c r="H82" s="6">
        <v>2500</v>
      </c>
      <c r="I82" s="7">
        <v>1381</v>
      </c>
      <c r="J82" s="2" t="s">
        <v>87</v>
      </c>
      <c r="K82" s="2" t="s">
        <v>320</v>
      </c>
      <c r="L82" s="6" t="s">
        <v>23</v>
      </c>
      <c r="M82" s="6" t="str">
        <f t="shared" si="2"/>
        <v>Yes</v>
      </c>
      <c r="N82" s="2" t="s">
        <v>321</v>
      </c>
      <c r="O82" s="6"/>
      <c r="P82" s="8" t="s">
        <v>25</v>
      </c>
      <c r="Q82" s="6" t="s">
        <v>26</v>
      </c>
    </row>
    <row r="83" spans="1:17" ht="28.8" customHeight="1" x14ac:dyDescent="0.3">
      <c r="A83" s="6">
        <v>82</v>
      </c>
      <c r="B83" s="2" t="s">
        <v>322</v>
      </c>
      <c r="C83" s="2" t="s">
        <v>261</v>
      </c>
      <c r="D83" s="6" t="s">
        <v>85</v>
      </c>
      <c r="E83" s="6">
        <v>2</v>
      </c>
      <c r="F83" s="6" t="s">
        <v>233</v>
      </c>
      <c r="G83" s="6" t="s">
        <v>86</v>
      </c>
      <c r="H83" s="6">
        <v>5000</v>
      </c>
      <c r="I83" s="7">
        <v>2800</v>
      </c>
      <c r="J83" s="2" t="s">
        <v>87</v>
      </c>
      <c r="K83" s="2" t="s">
        <v>323</v>
      </c>
      <c r="L83" s="6" t="s">
        <v>23</v>
      </c>
      <c r="M83" s="6" t="str">
        <f t="shared" si="2"/>
        <v>Yes</v>
      </c>
      <c r="N83" s="2" t="s">
        <v>324</v>
      </c>
      <c r="O83" s="6"/>
      <c r="P83" s="8" t="s">
        <v>25</v>
      </c>
      <c r="Q83" s="6" t="s">
        <v>26</v>
      </c>
    </row>
    <row r="84" spans="1:17" ht="57.6" customHeight="1" x14ac:dyDescent="0.3">
      <c r="A84" s="6">
        <v>83</v>
      </c>
      <c r="B84" s="2" t="s">
        <v>325</v>
      </c>
      <c r="C84" s="2" t="s">
        <v>171</v>
      </c>
      <c r="D84" s="6" t="s">
        <v>172</v>
      </c>
      <c r="E84" s="6">
        <v>2</v>
      </c>
      <c r="F84" s="6" t="s">
        <v>20</v>
      </c>
      <c r="G84" s="6" t="s">
        <v>21</v>
      </c>
      <c r="H84" s="6">
        <v>150</v>
      </c>
      <c r="I84" s="7">
        <v>0</v>
      </c>
      <c r="J84" s="2" t="s">
        <v>22</v>
      </c>
      <c r="K84" s="2" t="s">
        <v>326</v>
      </c>
      <c r="L84" s="6" t="s">
        <v>23</v>
      </c>
      <c r="M84" s="6" t="str">
        <f t="shared" si="2"/>
        <v>No</v>
      </c>
      <c r="N84" s="2" t="s">
        <v>327</v>
      </c>
      <c r="O84" s="6"/>
      <c r="P84" s="8" t="s">
        <v>25</v>
      </c>
      <c r="Q84" s="6" t="s">
        <v>26</v>
      </c>
    </row>
    <row r="85" spans="1:17" ht="43.2" customHeight="1" x14ac:dyDescent="0.3">
      <c r="A85" s="6">
        <v>84</v>
      </c>
      <c r="B85" s="2" t="s">
        <v>328</v>
      </c>
      <c r="C85" s="2" t="s">
        <v>231</v>
      </c>
      <c r="D85" s="6" t="s">
        <v>239</v>
      </c>
      <c r="E85" s="6">
        <v>2</v>
      </c>
      <c r="F85" s="6" t="s">
        <v>233</v>
      </c>
      <c r="G85" s="6" t="s">
        <v>86</v>
      </c>
      <c r="H85" s="6">
        <v>2500</v>
      </c>
      <c r="I85" s="7">
        <v>2304</v>
      </c>
      <c r="J85" s="2" t="s">
        <v>87</v>
      </c>
      <c r="K85" s="2" t="s">
        <v>329</v>
      </c>
      <c r="L85" s="6" t="s">
        <v>23</v>
      </c>
      <c r="M85" s="6" t="str">
        <f t="shared" si="2"/>
        <v>Yes</v>
      </c>
      <c r="N85" s="2" t="s">
        <v>330</v>
      </c>
      <c r="O85" s="6"/>
      <c r="P85" s="8" t="s">
        <v>25</v>
      </c>
      <c r="Q85" s="6" t="s">
        <v>26</v>
      </c>
    </row>
    <row r="86" spans="1:17" ht="57.6" customHeight="1" x14ac:dyDescent="0.3">
      <c r="A86" s="6">
        <v>85</v>
      </c>
      <c r="B86" s="2" t="s">
        <v>331</v>
      </c>
      <c r="C86" s="2" t="s">
        <v>93</v>
      </c>
      <c r="D86" s="6" t="s">
        <v>102</v>
      </c>
      <c r="E86" s="6">
        <v>2</v>
      </c>
      <c r="F86" s="6" t="s">
        <v>103</v>
      </c>
      <c r="G86" s="6" t="s">
        <v>21</v>
      </c>
      <c r="H86" s="6">
        <v>450</v>
      </c>
      <c r="I86" s="7">
        <v>450</v>
      </c>
      <c r="J86" s="2" t="s">
        <v>223</v>
      </c>
      <c r="K86" s="2" t="s">
        <v>332</v>
      </c>
      <c r="L86" s="6" t="s">
        <v>42</v>
      </c>
      <c r="M86" s="6" t="str">
        <f t="shared" si="2"/>
        <v>Yes</v>
      </c>
      <c r="N86" s="2" t="s">
        <v>333</v>
      </c>
      <c r="O86" s="6"/>
      <c r="P86" s="8" t="s">
        <v>25</v>
      </c>
      <c r="Q86" s="6" t="s">
        <v>26</v>
      </c>
    </row>
    <row r="87" spans="1:17" ht="43.2" customHeight="1" x14ac:dyDescent="0.3">
      <c r="A87" s="6">
        <v>86</v>
      </c>
      <c r="B87" s="2" t="s">
        <v>334</v>
      </c>
      <c r="C87" s="2" t="s">
        <v>81</v>
      </c>
      <c r="D87" s="6" t="s">
        <v>176</v>
      </c>
      <c r="E87" s="6">
        <v>2</v>
      </c>
      <c r="F87" s="6" t="s">
        <v>20</v>
      </c>
      <c r="G87" s="6" t="s">
        <v>21</v>
      </c>
      <c r="H87" s="6">
        <v>150</v>
      </c>
      <c r="I87" s="7">
        <v>0</v>
      </c>
      <c r="J87" s="2" t="s">
        <v>22</v>
      </c>
      <c r="K87" s="2" t="s">
        <v>335</v>
      </c>
      <c r="L87" s="6" t="s">
        <v>23</v>
      </c>
      <c r="M87" s="6" t="str">
        <f t="shared" si="2"/>
        <v>No</v>
      </c>
      <c r="N87" s="2" t="s">
        <v>336</v>
      </c>
      <c r="O87" s="6"/>
      <c r="P87" s="8" t="s">
        <v>25</v>
      </c>
      <c r="Q87" s="6" t="s">
        <v>26</v>
      </c>
    </row>
    <row r="88" spans="1:17" ht="28.8" customHeight="1" x14ac:dyDescent="0.3">
      <c r="A88" s="6">
        <v>87</v>
      </c>
      <c r="B88" s="2" t="s">
        <v>337</v>
      </c>
      <c r="C88" s="2" t="s">
        <v>338</v>
      </c>
      <c r="D88" s="6" t="s">
        <v>56</v>
      </c>
      <c r="E88" s="6">
        <v>2</v>
      </c>
      <c r="F88" s="6" t="s">
        <v>20</v>
      </c>
      <c r="G88" s="6" t="s">
        <v>21</v>
      </c>
      <c r="H88" s="6">
        <v>2500</v>
      </c>
      <c r="I88" s="7">
        <v>0</v>
      </c>
      <c r="J88" s="2" t="s">
        <v>22</v>
      </c>
      <c r="K88" s="2" t="s">
        <v>335</v>
      </c>
      <c r="L88" s="6" t="s">
        <v>23</v>
      </c>
      <c r="M88" s="6" t="str">
        <f t="shared" si="2"/>
        <v>No</v>
      </c>
      <c r="N88" s="2" t="s">
        <v>339</v>
      </c>
      <c r="O88" s="6"/>
      <c r="P88" s="8" t="s">
        <v>25</v>
      </c>
      <c r="Q88" s="6" t="s">
        <v>26</v>
      </c>
    </row>
    <row r="89" spans="1:17" ht="28.8" customHeight="1" x14ac:dyDescent="0.3">
      <c r="A89" s="6">
        <v>88</v>
      </c>
      <c r="B89" s="2" t="s">
        <v>340</v>
      </c>
      <c r="C89" s="2" t="s">
        <v>18</v>
      </c>
      <c r="D89" s="6" t="s">
        <v>19</v>
      </c>
      <c r="E89" s="6">
        <v>2</v>
      </c>
      <c r="F89" s="6" t="s">
        <v>20</v>
      </c>
      <c r="G89" s="6" t="s">
        <v>21</v>
      </c>
      <c r="H89" s="6">
        <v>0</v>
      </c>
      <c r="I89" s="7">
        <v>0</v>
      </c>
      <c r="J89" s="2" t="s">
        <v>22</v>
      </c>
      <c r="K89" s="2" t="s">
        <v>341</v>
      </c>
      <c r="L89" s="6" t="s">
        <v>23</v>
      </c>
      <c r="M89" s="6" t="str">
        <f t="shared" si="2"/>
        <v>Yes</v>
      </c>
      <c r="N89" s="2" t="s">
        <v>342</v>
      </c>
      <c r="O89" s="6"/>
      <c r="P89" s="8" t="s">
        <v>25</v>
      </c>
      <c r="Q89" s="6" t="s">
        <v>26</v>
      </c>
    </row>
    <row r="90" spans="1:17" ht="28.8" customHeight="1" x14ac:dyDescent="0.3">
      <c r="A90" s="6">
        <v>89</v>
      </c>
      <c r="B90" s="2" t="s">
        <v>343</v>
      </c>
      <c r="C90" s="2" t="s">
        <v>344</v>
      </c>
      <c r="D90" s="6" t="s">
        <v>216</v>
      </c>
      <c r="E90" s="6">
        <v>2</v>
      </c>
      <c r="F90" s="6" t="s">
        <v>40</v>
      </c>
      <c r="G90" s="6" t="s">
        <v>21</v>
      </c>
      <c r="H90" s="6">
        <v>450</v>
      </c>
      <c r="I90" s="7">
        <v>90</v>
      </c>
      <c r="J90" s="2" t="s">
        <v>345</v>
      </c>
      <c r="K90" s="2" t="s">
        <v>346</v>
      </c>
      <c r="L90" s="6" t="s">
        <v>23</v>
      </c>
      <c r="M90" s="6" t="str">
        <f t="shared" si="2"/>
        <v>No</v>
      </c>
      <c r="N90" s="2" t="s">
        <v>347</v>
      </c>
      <c r="O90" s="6"/>
      <c r="P90" s="8" t="s">
        <v>25</v>
      </c>
      <c r="Q90" s="6" t="s">
        <v>26</v>
      </c>
    </row>
    <row r="91" spans="1:17" ht="28.8" customHeight="1" x14ac:dyDescent="0.3">
      <c r="A91" s="6">
        <v>90</v>
      </c>
      <c r="B91" s="2" t="s">
        <v>348</v>
      </c>
      <c r="C91" s="2" t="s">
        <v>81</v>
      </c>
      <c r="D91" s="6" t="s">
        <v>82</v>
      </c>
      <c r="E91" s="6">
        <v>2</v>
      </c>
      <c r="F91" s="6" t="s">
        <v>20</v>
      </c>
      <c r="G91" s="6" t="s">
        <v>21</v>
      </c>
      <c r="H91" s="6">
        <v>0</v>
      </c>
      <c r="I91" s="7">
        <v>0</v>
      </c>
      <c r="J91" s="2" t="s">
        <v>22</v>
      </c>
      <c r="K91" s="2" t="s">
        <v>349</v>
      </c>
      <c r="L91" s="6" t="s">
        <v>23</v>
      </c>
      <c r="M91" s="6" t="str">
        <f t="shared" si="2"/>
        <v>Yes</v>
      </c>
      <c r="N91" s="2" t="s">
        <v>350</v>
      </c>
      <c r="O91" s="6"/>
      <c r="P91" s="8" t="s">
        <v>25</v>
      </c>
      <c r="Q91" s="6" t="s">
        <v>26</v>
      </c>
    </row>
    <row r="92" spans="1:17" ht="43.2" customHeight="1" x14ac:dyDescent="0.3">
      <c r="A92" s="6">
        <v>91</v>
      </c>
      <c r="B92" s="2" t="s">
        <v>351</v>
      </c>
      <c r="C92" s="2" t="s">
        <v>52</v>
      </c>
      <c r="D92" s="6" t="s">
        <v>352</v>
      </c>
      <c r="E92" s="6">
        <v>2</v>
      </c>
      <c r="F92" s="6" t="s">
        <v>20</v>
      </c>
      <c r="G92" s="6" t="s">
        <v>21</v>
      </c>
      <c r="H92" s="6">
        <v>150</v>
      </c>
      <c r="I92" s="7">
        <v>0</v>
      </c>
      <c r="J92" s="2" t="s">
        <v>22</v>
      </c>
      <c r="K92" s="2" t="s">
        <v>353</v>
      </c>
      <c r="L92" s="6" t="s">
        <v>23</v>
      </c>
      <c r="M92" s="6" t="str">
        <f t="shared" si="2"/>
        <v>No</v>
      </c>
      <c r="N92" s="2" t="s">
        <v>354</v>
      </c>
      <c r="O92" s="6"/>
      <c r="P92" s="8" t="s">
        <v>25</v>
      </c>
      <c r="Q92" s="6" t="s">
        <v>26</v>
      </c>
    </row>
    <row r="93" spans="1:17" ht="43.2" customHeight="1" x14ac:dyDescent="0.3">
      <c r="A93" s="6">
        <v>92</v>
      </c>
      <c r="B93" s="2" t="s">
        <v>355</v>
      </c>
      <c r="C93" s="2" t="s">
        <v>171</v>
      </c>
      <c r="D93" s="6" t="s">
        <v>356</v>
      </c>
      <c r="E93" s="6">
        <v>2</v>
      </c>
      <c r="F93" s="6" t="s">
        <v>20</v>
      </c>
      <c r="G93" s="6" t="s">
        <v>21</v>
      </c>
      <c r="H93" s="6">
        <v>150</v>
      </c>
      <c r="I93" s="7">
        <v>0</v>
      </c>
      <c r="J93" s="2" t="s">
        <v>357</v>
      </c>
      <c r="K93" s="2" t="s">
        <v>358</v>
      </c>
      <c r="L93" s="6" t="s">
        <v>23</v>
      </c>
      <c r="M93" s="6" t="str">
        <f t="shared" si="2"/>
        <v>No</v>
      </c>
      <c r="N93" s="2" t="s">
        <v>359</v>
      </c>
      <c r="O93" s="6"/>
      <c r="P93" s="8" t="s">
        <v>25</v>
      </c>
      <c r="Q93" s="6" t="s">
        <v>26</v>
      </c>
    </row>
    <row r="94" spans="1:17" ht="43.2" customHeight="1" x14ac:dyDescent="0.3">
      <c r="A94" s="6">
        <v>93</v>
      </c>
      <c r="B94" s="2" t="s">
        <v>360</v>
      </c>
      <c r="C94" s="2" t="s">
        <v>93</v>
      </c>
      <c r="D94" s="6" t="s">
        <v>361</v>
      </c>
      <c r="E94" s="6">
        <v>2</v>
      </c>
      <c r="F94" s="6" t="s">
        <v>103</v>
      </c>
      <c r="G94" s="6" t="s">
        <v>21</v>
      </c>
      <c r="H94" s="6">
        <v>500.5</v>
      </c>
      <c r="I94" s="7">
        <v>460</v>
      </c>
      <c r="J94" s="2" t="s">
        <v>104</v>
      </c>
      <c r="K94" s="2" t="s">
        <v>362</v>
      </c>
      <c r="L94" s="6"/>
      <c r="M94" s="6" t="str">
        <f t="shared" si="2"/>
        <v>Yes</v>
      </c>
      <c r="N94" s="2" t="s">
        <v>363</v>
      </c>
      <c r="O94" s="6" t="s">
        <v>364</v>
      </c>
      <c r="P94" s="8" t="s">
        <v>25</v>
      </c>
      <c r="Q94" s="6" t="s">
        <v>108</v>
      </c>
    </row>
    <row r="95" spans="1:17" ht="43.2" customHeight="1" x14ac:dyDescent="0.3">
      <c r="A95" s="6">
        <v>94</v>
      </c>
      <c r="B95" s="2" t="s">
        <v>365</v>
      </c>
      <c r="C95" s="2" t="s">
        <v>93</v>
      </c>
      <c r="D95" s="6" t="s">
        <v>366</v>
      </c>
      <c r="E95" s="6">
        <v>2</v>
      </c>
      <c r="F95" s="6" t="s">
        <v>103</v>
      </c>
      <c r="G95" s="6" t="s">
        <v>21</v>
      </c>
      <c r="H95" s="6">
        <v>750</v>
      </c>
      <c r="I95" s="7">
        <v>420</v>
      </c>
      <c r="J95" s="2" t="s">
        <v>104</v>
      </c>
      <c r="K95" s="2" t="s">
        <v>367</v>
      </c>
      <c r="L95" s="6"/>
      <c r="M95" s="6" t="str">
        <f t="shared" si="2"/>
        <v>Yes</v>
      </c>
      <c r="N95" s="2" t="s">
        <v>368</v>
      </c>
      <c r="O95" s="6" t="s">
        <v>298</v>
      </c>
      <c r="P95" s="8" t="s">
        <v>25</v>
      </c>
      <c r="Q95" s="6" t="s">
        <v>108</v>
      </c>
    </row>
    <row r="96" spans="1:17" ht="28.8" x14ac:dyDescent="0.3">
      <c r="A96" s="6">
        <v>95</v>
      </c>
      <c r="B96" s="2" t="s">
        <v>369</v>
      </c>
      <c r="C96" s="2" t="s">
        <v>93</v>
      </c>
      <c r="D96" s="6" t="s">
        <v>156</v>
      </c>
      <c r="E96" s="6">
        <v>2</v>
      </c>
      <c r="F96" s="6" t="s">
        <v>103</v>
      </c>
      <c r="G96" s="6" t="s">
        <v>21</v>
      </c>
      <c r="H96" s="6">
        <v>250.5</v>
      </c>
      <c r="I96" s="7">
        <v>184</v>
      </c>
      <c r="J96" s="2" t="s">
        <v>104</v>
      </c>
      <c r="K96" s="2" t="s">
        <v>370</v>
      </c>
      <c r="L96" s="6"/>
      <c r="M96" s="6" t="str">
        <f t="shared" si="2"/>
        <v>Yes</v>
      </c>
      <c r="N96" s="2" t="s">
        <v>371</v>
      </c>
      <c r="O96" s="6" t="s">
        <v>107</v>
      </c>
      <c r="P96" s="8" t="s">
        <v>25</v>
      </c>
      <c r="Q96" s="6" t="s">
        <v>108</v>
      </c>
    </row>
    <row r="97" spans="1:17" ht="28.8" customHeight="1" x14ac:dyDescent="0.3">
      <c r="A97" s="6">
        <v>96</v>
      </c>
      <c r="B97" s="2" t="s">
        <v>372</v>
      </c>
      <c r="C97" s="2" t="s">
        <v>93</v>
      </c>
      <c r="D97" s="6" t="s">
        <v>202</v>
      </c>
      <c r="E97" s="6">
        <v>2</v>
      </c>
      <c r="F97" s="6" t="s">
        <v>103</v>
      </c>
      <c r="G97" s="6" t="s">
        <v>21</v>
      </c>
      <c r="H97" s="6">
        <v>750</v>
      </c>
      <c r="I97" s="7">
        <v>340</v>
      </c>
      <c r="J97" s="2" t="s">
        <v>104</v>
      </c>
      <c r="K97" s="2" t="s">
        <v>373</v>
      </c>
      <c r="L97" s="6"/>
      <c r="M97" s="6" t="str">
        <f t="shared" si="2"/>
        <v>No</v>
      </c>
      <c r="N97" s="2" t="s">
        <v>374</v>
      </c>
      <c r="O97" s="6" t="s">
        <v>298</v>
      </c>
      <c r="P97" s="8" t="s">
        <v>25</v>
      </c>
      <c r="Q97" s="6" t="s">
        <v>108</v>
      </c>
    </row>
    <row r="98" spans="1:17" ht="28.8" customHeight="1" x14ac:dyDescent="0.3">
      <c r="A98" s="6">
        <v>97</v>
      </c>
      <c r="B98" s="2" t="s">
        <v>375</v>
      </c>
      <c r="C98" s="2" t="s">
        <v>93</v>
      </c>
      <c r="D98" s="6" t="s">
        <v>376</v>
      </c>
      <c r="E98" s="6">
        <v>2</v>
      </c>
      <c r="F98" s="6" t="s">
        <v>103</v>
      </c>
      <c r="G98" s="6" t="s">
        <v>21</v>
      </c>
      <c r="H98" s="6">
        <v>750</v>
      </c>
      <c r="I98" s="7">
        <v>650</v>
      </c>
      <c r="J98" s="2" t="s">
        <v>104</v>
      </c>
      <c r="K98" s="2" t="s">
        <v>377</v>
      </c>
      <c r="L98" s="6"/>
      <c r="M98" s="6" t="str">
        <f t="shared" ref="M98:M113" si="3">IF(I98="","",IF(ABS(I98-H98)&lt;=MAX(50,0.5*H98),"Yes","No"))</f>
        <v>Yes</v>
      </c>
      <c r="N98" s="2" t="s">
        <v>378</v>
      </c>
      <c r="O98" s="6" t="s">
        <v>298</v>
      </c>
      <c r="P98" s="8" t="s">
        <v>25</v>
      </c>
      <c r="Q98" s="6" t="s">
        <v>108</v>
      </c>
    </row>
    <row r="99" spans="1:17" ht="43.2" x14ac:dyDescent="0.3">
      <c r="A99" s="6">
        <v>98</v>
      </c>
      <c r="B99" s="2" t="s">
        <v>379</v>
      </c>
      <c r="C99" s="2" t="s">
        <v>171</v>
      </c>
      <c r="D99" s="6" t="s">
        <v>380</v>
      </c>
      <c r="E99" s="6">
        <v>1</v>
      </c>
      <c r="F99" s="6" t="s">
        <v>20</v>
      </c>
      <c r="G99" s="6" t="s">
        <v>21</v>
      </c>
      <c r="H99" s="6">
        <v>150</v>
      </c>
      <c r="I99" s="7">
        <v>0</v>
      </c>
      <c r="J99" s="2" t="s">
        <v>217</v>
      </c>
      <c r="K99" s="2" t="s">
        <v>358</v>
      </c>
      <c r="L99" s="6" t="s">
        <v>42</v>
      </c>
      <c r="M99" s="6" t="str">
        <f t="shared" si="3"/>
        <v>No</v>
      </c>
      <c r="N99" s="2" t="s">
        <v>381</v>
      </c>
      <c r="O99" s="6"/>
      <c r="P99" s="8" t="s">
        <v>25</v>
      </c>
      <c r="Q99" s="6" t="s">
        <v>26</v>
      </c>
    </row>
    <row r="100" spans="1:17" ht="43.2" customHeight="1" x14ac:dyDescent="0.3">
      <c r="A100" s="6">
        <v>99</v>
      </c>
      <c r="B100" s="2" t="s">
        <v>382</v>
      </c>
      <c r="C100" s="2" t="s">
        <v>141</v>
      </c>
      <c r="D100" s="6" t="s">
        <v>82</v>
      </c>
      <c r="E100" s="6">
        <v>1</v>
      </c>
      <c r="F100" s="6" t="s">
        <v>20</v>
      </c>
      <c r="G100" s="6" t="s">
        <v>21</v>
      </c>
      <c r="H100" s="6">
        <v>0</v>
      </c>
      <c r="I100" s="7">
        <v>0</v>
      </c>
      <c r="J100" s="2" t="s">
        <v>22</v>
      </c>
      <c r="K100" s="2" t="s">
        <v>383</v>
      </c>
      <c r="L100" s="6" t="s">
        <v>42</v>
      </c>
      <c r="M100" s="6" t="str">
        <f t="shared" si="3"/>
        <v>Yes</v>
      </c>
      <c r="N100" s="2"/>
      <c r="O100" s="6"/>
      <c r="P100" s="8" t="s">
        <v>25</v>
      </c>
      <c r="Q100" s="6" t="s">
        <v>26</v>
      </c>
    </row>
    <row r="101" spans="1:17" ht="43.2" customHeight="1" x14ac:dyDescent="0.3">
      <c r="A101" s="6">
        <v>100</v>
      </c>
      <c r="B101" s="2" t="s">
        <v>384</v>
      </c>
      <c r="C101" s="2" t="s">
        <v>141</v>
      </c>
      <c r="D101" s="6" t="s">
        <v>82</v>
      </c>
      <c r="E101" s="6">
        <v>1</v>
      </c>
      <c r="F101" s="6" t="s">
        <v>20</v>
      </c>
      <c r="G101" s="6" t="s">
        <v>21</v>
      </c>
      <c r="H101" s="6">
        <v>0</v>
      </c>
      <c r="I101" s="7">
        <v>0</v>
      </c>
      <c r="J101" s="2" t="s">
        <v>385</v>
      </c>
      <c r="K101" s="2" t="s">
        <v>386</v>
      </c>
      <c r="L101" s="6" t="s">
        <v>42</v>
      </c>
      <c r="M101" s="6" t="str">
        <f t="shared" si="3"/>
        <v>Yes</v>
      </c>
      <c r="N101" s="2" t="s">
        <v>387</v>
      </c>
      <c r="O101" s="6"/>
      <c r="P101" s="8" t="s">
        <v>25</v>
      </c>
      <c r="Q101" s="6" t="s">
        <v>26</v>
      </c>
    </row>
    <row r="102" spans="1:17" ht="28.8" x14ac:dyDescent="0.3">
      <c r="A102" s="6">
        <v>101</v>
      </c>
      <c r="B102" s="2" t="s">
        <v>388</v>
      </c>
      <c r="C102" s="2" t="s">
        <v>171</v>
      </c>
      <c r="D102" s="6" t="s">
        <v>172</v>
      </c>
      <c r="E102" s="6">
        <v>1</v>
      </c>
      <c r="F102" s="6" t="s">
        <v>20</v>
      </c>
      <c r="G102" s="6" t="s">
        <v>21</v>
      </c>
      <c r="H102" s="6">
        <v>150</v>
      </c>
      <c r="I102" s="7">
        <v>0</v>
      </c>
      <c r="J102" s="2" t="s">
        <v>22</v>
      </c>
      <c r="K102" s="2" t="s">
        <v>389</v>
      </c>
      <c r="L102" s="6" t="s">
        <v>42</v>
      </c>
      <c r="M102" s="6" t="str">
        <f t="shared" si="3"/>
        <v>No</v>
      </c>
      <c r="N102" s="2" t="s">
        <v>390</v>
      </c>
      <c r="O102" s="6"/>
      <c r="P102" s="8" t="s">
        <v>25</v>
      </c>
      <c r="Q102" s="6" t="s">
        <v>26</v>
      </c>
    </row>
    <row r="103" spans="1:17" ht="28.8" customHeight="1" x14ac:dyDescent="0.3">
      <c r="A103" s="6">
        <v>102</v>
      </c>
      <c r="B103" s="2" t="s">
        <v>391</v>
      </c>
      <c r="C103" s="2" t="s">
        <v>52</v>
      </c>
      <c r="D103" s="6" t="s">
        <v>61</v>
      </c>
      <c r="E103" s="6">
        <v>1</v>
      </c>
      <c r="F103" s="6" t="s">
        <v>20</v>
      </c>
      <c r="G103" s="6" t="s">
        <v>21</v>
      </c>
      <c r="H103" s="6">
        <v>0</v>
      </c>
      <c r="I103" s="7">
        <v>0</v>
      </c>
      <c r="J103" s="2" t="s">
        <v>22</v>
      </c>
      <c r="K103" s="2" t="s">
        <v>392</v>
      </c>
      <c r="L103" s="6" t="s">
        <v>42</v>
      </c>
      <c r="M103" s="6" t="str">
        <f t="shared" si="3"/>
        <v>Yes</v>
      </c>
      <c r="N103" s="2" t="s">
        <v>393</v>
      </c>
      <c r="O103" s="6"/>
      <c r="P103" s="8" t="s">
        <v>25</v>
      </c>
      <c r="Q103" s="6" t="s">
        <v>26</v>
      </c>
    </row>
    <row r="104" spans="1:17" ht="28.8" customHeight="1" x14ac:dyDescent="0.3">
      <c r="A104" s="6">
        <v>103</v>
      </c>
      <c r="B104" s="2" t="s">
        <v>394</v>
      </c>
      <c r="C104" s="2" t="s">
        <v>246</v>
      </c>
      <c r="D104" s="6" t="s">
        <v>85</v>
      </c>
      <c r="E104" s="6">
        <v>1</v>
      </c>
      <c r="F104" s="6" t="s">
        <v>233</v>
      </c>
      <c r="G104" s="6" t="s">
        <v>86</v>
      </c>
      <c r="H104" s="6">
        <v>5000</v>
      </c>
      <c r="I104" s="7">
        <v>5800</v>
      </c>
      <c r="J104" s="2" t="s">
        <v>87</v>
      </c>
      <c r="K104" s="2" t="s">
        <v>95</v>
      </c>
      <c r="L104" s="6" t="s">
        <v>23</v>
      </c>
      <c r="M104" s="6" t="str">
        <f t="shared" si="3"/>
        <v>Yes</v>
      </c>
      <c r="N104" s="2" t="s">
        <v>395</v>
      </c>
      <c r="O104" s="6"/>
      <c r="P104" s="8" t="s">
        <v>25</v>
      </c>
      <c r="Q104" s="6" t="s">
        <v>26</v>
      </c>
    </row>
    <row r="105" spans="1:17" ht="28.8" customHeight="1" x14ac:dyDescent="0.3">
      <c r="A105" s="6">
        <v>104</v>
      </c>
      <c r="B105" s="2" t="s">
        <v>396</v>
      </c>
      <c r="C105" s="2" t="s">
        <v>45</v>
      </c>
      <c r="D105" s="6" t="s">
        <v>46</v>
      </c>
      <c r="E105" s="6">
        <v>1</v>
      </c>
      <c r="F105" s="6" t="s">
        <v>47</v>
      </c>
      <c r="G105" s="6" t="s">
        <v>21</v>
      </c>
      <c r="H105" s="6">
        <v>450</v>
      </c>
      <c r="I105" s="7">
        <v>250</v>
      </c>
      <c r="J105" s="2" t="s">
        <v>223</v>
      </c>
      <c r="K105" s="2" t="s">
        <v>397</v>
      </c>
      <c r="L105" s="6" t="s">
        <v>23</v>
      </c>
      <c r="M105" s="6" t="str">
        <f t="shared" si="3"/>
        <v>Yes</v>
      </c>
      <c r="N105" s="2" t="s">
        <v>398</v>
      </c>
      <c r="O105" s="6"/>
      <c r="P105" s="8" t="s">
        <v>25</v>
      </c>
      <c r="Q105" s="6" t="s">
        <v>26</v>
      </c>
    </row>
    <row r="106" spans="1:17" ht="28.8" customHeight="1" x14ac:dyDescent="0.3">
      <c r="A106" s="6">
        <v>105</v>
      </c>
      <c r="B106" s="2" t="s">
        <v>399</v>
      </c>
      <c r="C106" s="2" t="s">
        <v>171</v>
      </c>
      <c r="D106" s="6" t="s">
        <v>172</v>
      </c>
      <c r="E106" s="6">
        <v>1</v>
      </c>
      <c r="F106" s="6" t="s">
        <v>20</v>
      </c>
      <c r="G106" s="6" t="s">
        <v>21</v>
      </c>
      <c r="H106" s="6">
        <v>150</v>
      </c>
      <c r="I106" s="7">
        <v>0</v>
      </c>
      <c r="J106" s="2" t="s">
        <v>22</v>
      </c>
      <c r="K106" s="2" t="s">
        <v>400</v>
      </c>
      <c r="L106" s="6" t="s">
        <v>42</v>
      </c>
      <c r="M106" s="6" t="str">
        <f t="shared" si="3"/>
        <v>No</v>
      </c>
      <c r="N106" s="2" t="s">
        <v>390</v>
      </c>
      <c r="O106" s="6"/>
      <c r="P106" s="8" t="s">
        <v>25</v>
      </c>
      <c r="Q106" s="6" t="s">
        <v>26</v>
      </c>
    </row>
    <row r="107" spans="1:17" ht="57.6" customHeight="1" x14ac:dyDescent="0.3">
      <c r="A107" s="6">
        <v>106</v>
      </c>
      <c r="B107" s="2" t="s">
        <v>401</v>
      </c>
      <c r="C107" s="2" t="s">
        <v>18</v>
      </c>
      <c r="D107" s="6" t="s">
        <v>402</v>
      </c>
      <c r="E107" s="6">
        <v>1</v>
      </c>
      <c r="F107" s="6" t="s">
        <v>33</v>
      </c>
      <c r="G107" s="6" t="s">
        <v>21</v>
      </c>
      <c r="H107" s="6">
        <v>450</v>
      </c>
      <c r="I107" s="7">
        <v>150</v>
      </c>
      <c r="J107" s="2" t="s">
        <v>34</v>
      </c>
      <c r="K107" s="2" t="s">
        <v>403</v>
      </c>
      <c r="L107" s="6" t="s">
        <v>23</v>
      </c>
      <c r="M107" s="6" t="str">
        <f t="shared" si="3"/>
        <v>No</v>
      </c>
      <c r="N107" s="2" t="s">
        <v>404</v>
      </c>
      <c r="O107" s="6"/>
      <c r="P107" s="8" t="s">
        <v>25</v>
      </c>
      <c r="Q107" s="6" t="s">
        <v>26</v>
      </c>
    </row>
    <row r="108" spans="1:17" ht="43.2" customHeight="1" x14ac:dyDescent="0.3">
      <c r="A108" s="6">
        <v>107</v>
      </c>
      <c r="B108" s="2" t="s">
        <v>405</v>
      </c>
      <c r="C108" s="2" t="s">
        <v>231</v>
      </c>
      <c r="D108" s="6" t="s">
        <v>239</v>
      </c>
      <c r="E108" s="6">
        <v>1</v>
      </c>
      <c r="F108" s="6" t="s">
        <v>233</v>
      </c>
      <c r="G108" s="6" t="s">
        <v>86</v>
      </c>
      <c r="H108" s="6">
        <v>2500</v>
      </c>
      <c r="I108" s="7">
        <v>1725</v>
      </c>
      <c r="J108" s="2" t="s">
        <v>87</v>
      </c>
      <c r="K108" s="2" t="s">
        <v>406</v>
      </c>
      <c r="L108" s="6" t="s">
        <v>23</v>
      </c>
      <c r="M108" s="6" t="str">
        <f t="shared" si="3"/>
        <v>Yes</v>
      </c>
      <c r="N108" s="2" t="s">
        <v>407</v>
      </c>
      <c r="O108" s="6"/>
      <c r="P108" s="8" t="s">
        <v>25</v>
      </c>
      <c r="Q108" s="6" t="s">
        <v>26</v>
      </c>
    </row>
    <row r="109" spans="1:17" ht="28.8" customHeight="1" x14ac:dyDescent="0.3">
      <c r="A109" s="6">
        <v>108</v>
      </c>
      <c r="B109" s="2" t="s">
        <v>408</v>
      </c>
      <c r="C109" s="2" t="s">
        <v>171</v>
      </c>
      <c r="D109" s="6" t="s">
        <v>172</v>
      </c>
      <c r="E109" s="6">
        <v>1</v>
      </c>
      <c r="F109" s="6" t="s">
        <v>20</v>
      </c>
      <c r="G109" s="6" t="s">
        <v>21</v>
      </c>
      <c r="H109" s="6">
        <v>150</v>
      </c>
      <c r="I109" s="7">
        <v>0</v>
      </c>
      <c r="J109" s="2" t="s">
        <v>22</v>
      </c>
      <c r="K109" s="2" t="s">
        <v>409</v>
      </c>
      <c r="L109" s="6" t="s">
        <v>42</v>
      </c>
      <c r="M109" s="6" t="str">
        <f t="shared" si="3"/>
        <v>No</v>
      </c>
      <c r="N109" s="2" t="s">
        <v>390</v>
      </c>
      <c r="O109" s="6"/>
      <c r="P109" s="8" t="s">
        <v>25</v>
      </c>
      <c r="Q109" s="6" t="s">
        <v>26</v>
      </c>
    </row>
    <row r="110" spans="1:17" ht="28.8" customHeight="1" x14ac:dyDescent="0.3">
      <c r="A110" s="6">
        <v>109</v>
      </c>
      <c r="B110" s="2" t="s">
        <v>410</v>
      </c>
      <c r="C110" s="2" t="s">
        <v>231</v>
      </c>
      <c r="D110" s="6" t="s">
        <v>239</v>
      </c>
      <c r="E110" s="6">
        <v>1</v>
      </c>
      <c r="F110" s="6" t="s">
        <v>233</v>
      </c>
      <c r="G110" s="6" t="s">
        <v>86</v>
      </c>
      <c r="H110" s="6">
        <v>2500</v>
      </c>
      <c r="I110" s="7">
        <v>4995</v>
      </c>
      <c r="J110" s="2" t="s">
        <v>87</v>
      </c>
      <c r="K110" s="2" t="s">
        <v>411</v>
      </c>
      <c r="L110" s="6" t="s">
        <v>23</v>
      </c>
      <c r="M110" s="6" t="str">
        <f t="shared" si="3"/>
        <v>No</v>
      </c>
      <c r="N110" s="2" t="s">
        <v>412</v>
      </c>
      <c r="O110" s="6"/>
      <c r="P110" s="8" t="s">
        <v>25</v>
      </c>
      <c r="Q110" s="6" t="s">
        <v>26</v>
      </c>
    </row>
    <row r="111" spans="1:17" ht="28.8" customHeight="1" x14ac:dyDescent="0.3">
      <c r="A111" s="6">
        <v>110</v>
      </c>
      <c r="B111" s="2" t="s">
        <v>413</v>
      </c>
      <c r="C111" s="2" t="s">
        <v>93</v>
      </c>
      <c r="D111" s="6" t="s">
        <v>414</v>
      </c>
      <c r="E111" s="6">
        <v>1</v>
      </c>
      <c r="F111" s="6" t="s">
        <v>103</v>
      </c>
      <c r="G111" s="6" t="s">
        <v>21</v>
      </c>
      <c r="H111" s="6">
        <v>1250</v>
      </c>
      <c r="I111" s="7">
        <v>310</v>
      </c>
      <c r="J111" s="2" t="s">
        <v>104</v>
      </c>
      <c r="K111" s="2" t="s">
        <v>415</v>
      </c>
      <c r="L111" s="6"/>
      <c r="M111" s="6" t="str">
        <f t="shared" si="3"/>
        <v>No</v>
      </c>
      <c r="N111" s="2" t="s">
        <v>416</v>
      </c>
      <c r="O111" s="6" t="s">
        <v>417</v>
      </c>
      <c r="P111" s="8" t="s">
        <v>25</v>
      </c>
      <c r="Q111" s="6" t="s">
        <v>108</v>
      </c>
    </row>
    <row r="112" spans="1:17" ht="28.8" customHeight="1" x14ac:dyDescent="0.3">
      <c r="A112" s="6">
        <v>111</v>
      </c>
      <c r="B112" s="2" t="s">
        <v>418</v>
      </c>
      <c r="C112" s="2" t="s">
        <v>93</v>
      </c>
      <c r="D112" s="6" t="s">
        <v>419</v>
      </c>
      <c r="E112" s="6">
        <v>1</v>
      </c>
      <c r="F112" s="6" t="s">
        <v>103</v>
      </c>
      <c r="G112" s="6" t="s">
        <v>21</v>
      </c>
      <c r="H112" s="6">
        <v>750</v>
      </c>
      <c r="I112" s="7">
        <v>395</v>
      </c>
      <c r="J112" s="2" t="s">
        <v>104</v>
      </c>
      <c r="K112" s="2" t="s">
        <v>420</v>
      </c>
      <c r="L112" s="6"/>
      <c r="M112" s="6" t="str">
        <f t="shared" si="3"/>
        <v>Yes</v>
      </c>
      <c r="N112" s="2" t="s">
        <v>421</v>
      </c>
      <c r="O112" s="6" t="s">
        <v>298</v>
      </c>
      <c r="P112" s="8" t="s">
        <v>25</v>
      </c>
      <c r="Q112" s="6" t="s">
        <v>108</v>
      </c>
    </row>
    <row r="113" spans="1:17" ht="57.6" customHeight="1" x14ac:dyDescent="0.3">
      <c r="A113" s="6">
        <v>112</v>
      </c>
      <c r="B113" s="2" t="s">
        <v>422</v>
      </c>
      <c r="C113" s="2" t="s">
        <v>93</v>
      </c>
      <c r="D113" s="6" t="s">
        <v>423</v>
      </c>
      <c r="E113" s="6">
        <v>1</v>
      </c>
      <c r="F113" s="6" t="s">
        <v>103</v>
      </c>
      <c r="G113" s="6" t="s">
        <v>21</v>
      </c>
      <c r="H113" s="6">
        <v>1500</v>
      </c>
      <c r="I113" s="7">
        <v>795</v>
      </c>
      <c r="J113" s="2" t="s">
        <v>104</v>
      </c>
      <c r="K113" s="2" t="s">
        <v>424</v>
      </c>
      <c r="L113" s="6"/>
      <c r="M113" s="6" t="str">
        <f t="shared" si="3"/>
        <v>Yes</v>
      </c>
      <c r="N113" s="2" t="s">
        <v>425</v>
      </c>
      <c r="O113" s="6" t="s">
        <v>426</v>
      </c>
      <c r="P113" s="8" t="s">
        <v>25</v>
      </c>
      <c r="Q113" s="6" t="s">
        <v>108</v>
      </c>
    </row>
    <row r="114" spans="1:17" ht="28.8" customHeight="1" x14ac:dyDescent="0.3"/>
    <row r="116" spans="1:17" ht="28.8" customHeight="1" x14ac:dyDescent="0.3"/>
  </sheetData>
  <autoFilter ref="A1:Q113" xr:uid="{00000000-0009-0000-0000-000001000000}"/>
  <conditionalFormatting sqref="M2:M116">
    <cfRule type="cellIs" dxfId="1" priority="1" operator="equal">
      <formula>"Yes"</formula>
    </cfRule>
    <cfRule type="cellIs" dxfId="0" priority="2" operator="equal">
      <formula>"No"</formula>
    </cfRule>
  </conditionalFormatting>
  <hyperlinks>
    <hyperlink ref="P2" r:id="rId1" xr:uid="{00000000-0004-0000-0100-000000000000}"/>
    <hyperlink ref="K3" r:id="rId2" xr:uid="{00000000-0004-0000-0100-000001000000}"/>
    <hyperlink ref="P3" r:id="rId3" xr:uid="{00000000-0004-0000-0100-000002000000}"/>
    <hyperlink ref="K4" r:id="rId4" xr:uid="{00000000-0004-0000-0100-000003000000}"/>
    <hyperlink ref="P4" r:id="rId5" xr:uid="{00000000-0004-0000-0100-000004000000}"/>
    <hyperlink ref="K5" r:id="rId6" xr:uid="{00000000-0004-0000-0100-000005000000}"/>
    <hyperlink ref="P5" r:id="rId7" xr:uid="{00000000-0004-0000-0100-000006000000}"/>
    <hyperlink ref="K6" r:id="rId8" xr:uid="{00000000-0004-0000-0100-000007000000}"/>
    <hyperlink ref="P6" r:id="rId9" xr:uid="{00000000-0004-0000-0100-000008000000}"/>
    <hyperlink ref="K7" r:id="rId10" xr:uid="{00000000-0004-0000-0100-000009000000}"/>
    <hyperlink ref="P7" r:id="rId11" xr:uid="{00000000-0004-0000-0100-00000A000000}"/>
    <hyperlink ref="K8" r:id="rId12" xr:uid="{00000000-0004-0000-0100-00000B000000}"/>
    <hyperlink ref="P8" r:id="rId13" xr:uid="{00000000-0004-0000-0100-00000C000000}"/>
    <hyperlink ref="K9" r:id="rId14" xr:uid="{00000000-0004-0000-0100-00000D000000}"/>
    <hyperlink ref="P9" r:id="rId15" xr:uid="{00000000-0004-0000-0100-00000E000000}"/>
    <hyperlink ref="K10" r:id="rId16" xr:uid="{00000000-0004-0000-0100-00000F000000}"/>
    <hyperlink ref="P10" r:id="rId17" xr:uid="{00000000-0004-0000-0100-000010000000}"/>
    <hyperlink ref="K11" r:id="rId18" xr:uid="{00000000-0004-0000-0100-000011000000}"/>
    <hyperlink ref="P11" r:id="rId19" xr:uid="{00000000-0004-0000-0100-000012000000}"/>
    <hyperlink ref="K12" r:id="rId20" xr:uid="{00000000-0004-0000-0100-000013000000}"/>
    <hyperlink ref="P12" r:id="rId21" xr:uid="{00000000-0004-0000-0100-000014000000}"/>
    <hyperlink ref="K13" r:id="rId22" xr:uid="{00000000-0004-0000-0100-000015000000}"/>
    <hyperlink ref="P13" r:id="rId23" xr:uid="{00000000-0004-0000-0100-000016000000}"/>
    <hyperlink ref="K14" r:id="rId24" xr:uid="{00000000-0004-0000-0100-000017000000}"/>
    <hyperlink ref="P14" r:id="rId25" xr:uid="{00000000-0004-0000-0100-000018000000}"/>
    <hyperlink ref="K15" r:id="rId26" xr:uid="{00000000-0004-0000-0100-000019000000}"/>
    <hyperlink ref="P15" r:id="rId27" xr:uid="{00000000-0004-0000-0100-00001A000000}"/>
    <hyperlink ref="K16" r:id="rId28" xr:uid="{00000000-0004-0000-0100-00001B000000}"/>
    <hyperlink ref="P16" r:id="rId29" xr:uid="{00000000-0004-0000-0100-00001C000000}"/>
    <hyperlink ref="K17" r:id="rId30" xr:uid="{00000000-0004-0000-0100-00001D000000}"/>
    <hyperlink ref="P17" r:id="rId31" xr:uid="{00000000-0004-0000-0100-00001E000000}"/>
    <hyperlink ref="K18" r:id="rId32" xr:uid="{00000000-0004-0000-0100-00001F000000}"/>
    <hyperlink ref="P18" r:id="rId33" xr:uid="{00000000-0004-0000-0100-000020000000}"/>
    <hyperlink ref="K19" r:id="rId34" xr:uid="{00000000-0004-0000-0100-000021000000}"/>
    <hyperlink ref="P19" r:id="rId35" xr:uid="{00000000-0004-0000-0100-000022000000}"/>
    <hyperlink ref="K20" r:id="rId36" xr:uid="{00000000-0004-0000-0100-000023000000}"/>
    <hyperlink ref="P20" r:id="rId37" xr:uid="{00000000-0004-0000-0100-000024000000}"/>
    <hyperlink ref="K21" r:id="rId38" xr:uid="{00000000-0004-0000-0100-000025000000}"/>
    <hyperlink ref="P21" r:id="rId39" xr:uid="{00000000-0004-0000-0100-000026000000}"/>
    <hyperlink ref="K22" r:id="rId40" xr:uid="{00000000-0004-0000-0100-000027000000}"/>
    <hyperlink ref="P22" r:id="rId41" xr:uid="{00000000-0004-0000-0100-000028000000}"/>
    <hyperlink ref="K23" r:id="rId42" xr:uid="{00000000-0004-0000-0100-000029000000}"/>
    <hyperlink ref="P23" r:id="rId43" xr:uid="{00000000-0004-0000-0100-00002A000000}"/>
    <hyperlink ref="K24" r:id="rId44" xr:uid="{00000000-0004-0000-0100-00002B000000}"/>
    <hyperlink ref="P24" r:id="rId45" xr:uid="{00000000-0004-0000-0100-00002C000000}"/>
    <hyperlink ref="K25" r:id="rId46" xr:uid="{00000000-0004-0000-0100-00002D000000}"/>
    <hyperlink ref="P25" r:id="rId47" xr:uid="{00000000-0004-0000-0100-00002E000000}"/>
    <hyperlink ref="K26" r:id="rId48" xr:uid="{00000000-0004-0000-0100-00002F000000}"/>
    <hyperlink ref="P26" r:id="rId49" xr:uid="{00000000-0004-0000-0100-000030000000}"/>
    <hyperlink ref="K27" r:id="rId50" xr:uid="{00000000-0004-0000-0100-000031000000}"/>
    <hyperlink ref="P27" r:id="rId51" xr:uid="{00000000-0004-0000-0100-000032000000}"/>
    <hyperlink ref="K28" r:id="rId52" xr:uid="{00000000-0004-0000-0100-000033000000}"/>
    <hyperlink ref="P28" r:id="rId53" xr:uid="{00000000-0004-0000-0100-000034000000}"/>
    <hyperlink ref="K29" r:id="rId54" xr:uid="{00000000-0004-0000-0100-000035000000}"/>
    <hyperlink ref="P29" r:id="rId55" xr:uid="{00000000-0004-0000-0100-000036000000}"/>
    <hyperlink ref="K30" r:id="rId56" xr:uid="{00000000-0004-0000-0100-000037000000}"/>
    <hyperlink ref="P30" r:id="rId57" xr:uid="{00000000-0004-0000-0100-000038000000}"/>
    <hyperlink ref="K31" r:id="rId58" xr:uid="{00000000-0004-0000-0100-000039000000}"/>
    <hyperlink ref="P31" r:id="rId59" xr:uid="{00000000-0004-0000-0100-00003A000000}"/>
    <hyperlink ref="K32" r:id="rId60" xr:uid="{00000000-0004-0000-0100-00003B000000}"/>
    <hyperlink ref="P32" r:id="rId61" xr:uid="{00000000-0004-0000-0100-00003C000000}"/>
    <hyperlink ref="K33" r:id="rId62" xr:uid="{00000000-0004-0000-0100-00003D000000}"/>
    <hyperlink ref="P33" r:id="rId63" xr:uid="{00000000-0004-0000-0100-00003E000000}"/>
    <hyperlink ref="K34" r:id="rId64" xr:uid="{00000000-0004-0000-0100-00003F000000}"/>
    <hyperlink ref="P34" r:id="rId65" xr:uid="{00000000-0004-0000-0100-000040000000}"/>
    <hyperlink ref="K35" r:id="rId66" xr:uid="{00000000-0004-0000-0100-000041000000}"/>
    <hyperlink ref="P35" r:id="rId67" xr:uid="{00000000-0004-0000-0100-000042000000}"/>
    <hyperlink ref="K36" r:id="rId68" xr:uid="{00000000-0004-0000-0100-000043000000}"/>
    <hyperlink ref="P36" r:id="rId69" xr:uid="{00000000-0004-0000-0100-000044000000}"/>
    <hyperlink ref="K37" r:id="rId70" xr:uid="{00000000-0004-0000-0100-000045000000}"/>
    <hyperlink ref="P37" r:id="rId71" xr:uid="{00000000-0004-0000-0100-000046000000}"/>
    <hyperlink ref="K38" r:id="rId72" xr:uid="{00000000-0004-0000-0100-000047000000}"/>
    <hyperlink ref="P38" r:id="rId73" xr:uid="{00000000-0004-0000-0100-000048000000}"/>
    <hyperlink ref="K39" r:id="rId74" xr:uid="{00000000-0004-0000-0100-000049000000}"/>
    <hyperlink ref="P39" r:id="rId75" xr:uid="{00000000-0004-0000-0100-00004A000000}"/>
    <hyperlink ref="K40" r:id="rId76" xr:uid="{00000000-0004-0000-0100-00004B000000}"/>
    <hyperlink ref="P40" r:id="rId77" xr:uid="{00000000-0004-0000-0100-00004C000000}"/>
    <hyperlink ref="K41" r:id="rId78" xr:uid="{00000000-0004-0000-0100-00004D000000}"/>
    <hyperlink ref="P41" r:id="rId79" xr:uid="{00000000-0004-0000-0100-00004E000000}"/>
    <hyperlink ref="K42" r:id="rId80" xr:uid="{00000000-0004-0000-0100-00004F000000}"/>
    <hyperlink ref="P42" r:id="rId81" xr:uid="{00000000-0004-0000-0100-000050000000}"/>
    <hyperlink ref="K43" r:id="rId82" xr:uid="{00000000-0004-0000-0100-000051000000}"/>
    <hyperlink ref="P43" r:id="rId83" xr:uid="{00000000-0004-0000-0100-000052000000}"/>
    <hyperlink ref="K44" r:id="rId84" xr:uid="{00000000-0004-0000-0100-000053000000}"/>
    <hyperlink ref="P44" r:id="rId85" xr:uid="{00000000-0004-0000-0100-000054000000}"/>
    <hyperlink ref="K45" r:id="rId86" xr:uid="{00000000-0004-0000-0100-000055000000}"/>
    <hyperlink ref="P45" r:id="rId87" xr:uid="{00000000-0004-0000-0100-000056000000}"/>
    <hyperlink ref="K46" r:id="rId88" xr:uid="{00000000-0004-0000-0100-000057000000}"/>
    <hyperlink ref="P46" r:id="rId89" xr:uid="{00000000-0004-0000-0100-000058000000}"/>
    <hyperlink ref="K47" r:id="rId90" xr:uid="{00000000-0004-0000-0100-000059000000}"/>
    <hyperlink ref="P47" r:id="rId91" xr:uid="{00000000-0004-0000-0100-00005A000000}"/>
    <hyperlink ref="K48" r:id="rId92" xr:uid="{00000000-0004-0000-0100-00005B000000}"/>
    <hyperlink ref="P48" r:id="rId93" xr:uid="{00000000-0004-0000-0100-00005C000000}"/>
    <hyperlink ref="K49" r:id="rId94" xr:uid="{00000000-0004-0000-0100-00005D000000}"/>
    <hyperlink ref="P49" r:id="rId95" xr:uid="{00000000-0004-0000-0100-00005E000000}"/>
    <hyperlink ref="K50" r:id="rId96" xr:uid="{00000000-0004-0000-0100-00005F000000}"/>
    <hyperlink ref="P50" r:id="rId97" xr:uid="{00000000-0004-0000-0100-000060000000}"/>
    <hyperlink ref="K51" r:id="rId98" xr:uid="{00000000-0004-0000-0100-000061000000}"/>
    <hyperlink ref="P51" r:id="rId99" xr:uid="{00000000-0004-0000-0100-000062000000}"/>
    <hyperlink ref="K52" r:id="rId100" xr:uid="{00000000-0004-0000-0100-000063000000}"/>
    <hyperlink ref="P52" r:id="rId101" xr:uid="{00000000-0004-0000-0100-000064000000}"/>
    <hyperlink ref="K53" r:id="rId102" xr:uid="{00000000-0004-0000-0100-000065000000}"/>
    <hyperlink ref="P53" r:id="rId103" xr:uid="{00000000-0004-0000-0100-000066000000}"/>
    <hyperlink ref="K54" r:id="rId104" xr:uid="{00000000-0004-0000-0100-000067000000}"/>
    <hyperlink ref="P54" r:id="rId105" xr:uid="{00000000-0004-0000-0100-000068000000}"/>
    <hyperlink ref="K55" r:id="rId106" xr:uid="{00000000-0004-0000-0100-000069000000}"/>
    <hyperlink ref="P55" r:id="rId107" xr:uid="{00000000-0004-0000-0100-00006A000000}"/>
    <hyperlink ref="K56" r:id="rId108" xr:uid="{00000000-0004-0000-0100-00006B000000}"/>
    <hyperlink ref="P56" r:id="rId109" xr:uid="{00000000-0004-0000-0100-00006C000000}"/>
    <hyperlink ref="K57" r:id="rId110" xr:uid="{00000000-0004-0000-0100-00006D000000}"/>
    <hyperlink ref="P57" r:id="rId111" xr:uid="{00000000-0004-0000-0100-00006E000000}"/>
    <hyperlink ref="K58" r:id="rId112" xr:uid="{00000000-0004-0000-0100-00006F000000}"/>
    <hyperlink ref="P58" r:id="rId113" xr:uid="{00000000-0004-0000-0100-000070000000}"/>
    <hyperlink ref="K59" r:id="rId114" xr:uid="{00000000-0004-0000-0100-000071000000}"/>
    <hyperlink ref="P59" r:id="rId115" xr:uid="{00000000-0004-0000-0100-000072000000}"/>
    <hyperlink ref="K60" r:id="rId116" xr:uid="{00000000-0004-0000-0100-000073000000}"/>
    <hyperlink ref="P60" r:id="rId117" xr:uid="{00000000-0004-0000-0100-000074000000}"/>
    <hyperlink ref="K61" r:id="rId118" xr:uid="{00000000-0004-0000-0100-000075000000}"/>
    <hyperlink ref="P61" r:id="rId119" xr:uid="{00000000-0004-0000-0100-000076000000}"/>
    <hyperlink ref="K62" r:id="rId120" xr:uid="{00000000-0004-0000-0100-000077000000}"/>
    <hyperlink ref="P62" r:id="rId121" xr:uid="{00000000-0004-0000-0100-000078000000}"/>
    <hyperlink ref="K63" r:id="rId122" xr:uid="{00000000-0004-0000-0100-000079000000}"/>
    <hyperlink ref="P63" r:id="rId123" xr:uid="{00000000-0004-0000-0100-00007A000000}"/>
    <hyperlink ref="K64" r:id="rId124" xr:uid="{00000000-0004-0000-0100-00007B000000}"/>
    <hyperlink ref="P64" r:id="rId125" xr:uid="{00000000-0004-0000-0100-00007C000000}"/>
    <hyperlink ref="K65" r:id="rId126" xr:uid="{00000000-0004-0000-0100-00007D000000}"/>
    <hyperlink ref="P65" r:id="rId127" xr:uid="{00000000-0004-0000-0100-00007E000000}"/>
    <hyperlink ref="K66" r:id="rId128" xr:uid="{00000000-0004-0000-0100-00007F000000}"/>
    <hyperlink ref="P66" r:id="rId129" xr:uid="{00000000-0004-0000-0100-000080000000}"/>
    <hyperlink ref="K67" r:id="rId130" xr:uid="{00000000-0004-0000-0100-000081000000}"/>
    <hyperlink ref="P67" r:id="rId131" xr:uid="{00000000-0004-0000-0100-000082000000}"/>
    <hyperlink ref="K68" r:id="rId132" xr:uid="{00000000-0004-0000-0100-000083000000}"/>
    <hyperlink ref="P68" r:id="rId133" xr:uid="{00000000-0004-0000-0100-000084000000}"/>
    <hyperlink ref="K69" r:id="rId134" xr:uid="{00000000-0004-0000-0100-000085000000}"/>
    <hyperlink ref="P69" r:id="rId135" xr:uid="{00000000-0004-0000-0100-000086000000}"/>
    <hyperlink ref="K70" r:id="rId136" xr:uid="{00000000-0004-0000-0100-000087000000}"/>
    <hyperlink ref="P70" r:id="rId137" xr:uid="{00000000-0004-0000-0100-000088000000}"/>
    <hyperlink ref="K71" r:id="rId138" xr:uid="{00000000-0004-0000-0100-000089000000}"/>
    <hyperlink ref="P71" r:id="rId139" xr:uid="{00000000-0004-0000-0100-00008A000000}"/>
    <hyperlink ref="K72" r:id="rId140" xr:uid="{00000000-0004-0000-0100-00008B000000}"/>
    <hyperlink ref="P72" r:id="rId141" xr:uid="{00000000-0004-0000-0100-00008C000000}"/>
    <hyperlink ref="K73" r:id="rId142" xr:uid="{00000000-0004-0000-0100-00008D000000}"/>
    <hyperlink ref="P73" r:id="rId143" xr:uid="{00000000-0004-0000-0100-00008E000000}"/>
    <hyperlink ref="K74" r:id="rId144" xr:uid="{00000000-0004-0000-0100-00008F000000}"/>
    <hyperlink ref="P74" r:id="rId145" xr:uid="{00000000-0004-0000-0100-000090000000}"/>
    <hyperlink ref="K75" r:id="rId146" xr:uid="{00000000-0004-0000-0100-000091000000}"/>
    <hyperlink ref="P75" r:id="rId147" xr:uid="{00000000-0004-0000-0100-000092000000}"/>
    <hyperlink ref="K76" r:id="rId148" xr:uid="{00000000-0004-0000-0100-000093000000}"/>
    <hyperlink ref="P76" r:id="rId149" xr:uid="{00000000-0004-0000-0100-000094000000}"/>
    <hyperlink ref="K77" r:id="rId150" xr:uid="{00000000-0004-0000-0100-000095000000}"/>
    <hyperlink ref="P77" r:id="rId151" xr:uid="{00000000-0004-0000-0100-000096000000}"/>
    <hyperlink ref="K78" r:id="rId152" xr:uid="{00000000-0004-0000-0100-000097000000}"/>
    <hyperlink ref="P78" r:id="rId153" xr:uid="{00000000-0004-0000-0100-000098000000}"/>
    <hyperlink ref="K79" r:id="rId154" xr:uid="{00000000-0004-0000-0100-000099000000}"/>
    <hyperlink ref="P79" r:id="rId155" xr:uid="{00000000-0004-0000-0100-00009A000000}"/>
    <hyperlink ref="K80" r:id="rId156" xr:uid="{00000000-0004-0000-0100-00009B000000}"/>
    <hyperlink ref="P80" r:id="rId157" xr:uid="{00000000-0004-0000-0100-00009C000000}"/>
    <hyperlink ref="K81" r:id="rId158" xr:uid="{00000000-0004-0000-0100-00009D000000}"/>
    <hyperlink ref="P81" r:id="rId159" xr:uid="{00000000-0004-0000-0100-00009E000000}"/>
    <hyperlink ref="K82" r:id="rId160" xr:uid="{00000000-0004-0000-0100-00009F000000}"/>
    <hyperlink ref="P82" r:id="rId161" xr:uid="{00000000-0004-0000-0100-0000A0000000}"/>
    <hyperlink ref="K83" r:id="rId162" xr:uid="{00000000-0004-0000-0100-0000A1000000}"/>
    <hyperlink ref="P83" r:id="rId163" xr:uid="{00000000-0004-0000-0100-0000A2000000}"/>
    <hyperlink ref="K84" r:id="rId164" xr:uid="{00000000-0004-0000-0100-0000A3000000}"/>
    <hyperlink ref="P84" r:id="rId165" xr:uid="{00000000-0004-0000-0100-0000A4000000}"/>
    <hyperlink ref="K85" r:id="rId166" xr:uid="{00000000-0004-0000-0100-0000A5000000}"/>
    <hyperlink ref="P85" r:id="rId167" xr:uid="{00000000-0004-0000-0100-0000A6000000}"/>
    <hyperlink ref="K86" r:id="rId168" xr:uid="{00000000-0004-0000-0100-0000A7000000}"/>
    <hyperlink ref="P86" r:id="rId169" xr:uid="{00000000-0004-0000-0100-0000A8000000}"/>
    <hyperlink ref="K87" r:id="rId170" xr:uid="{00000000-0004-0000-0100-0000A9000000}"/>
    <hyperlink ref="P87" r:id="rId171" xr:uid="{00000000-0004-0000-0100-0000AA000000}"/>
    <hyperlink ref="K88" r:id="rId172" xr:uid="{00000000-0004-0000-0100-0000AB000000}"/>
    <hyperlink ref="P88" r:id="rId173" xr:uid="{00000000-0004-0000-0100-0000AC000000}"/>
    <hyperlink ref="K89" r:id="rId174" xr:uid="{00000000-0004-0000-0100-0000AD000000}"/>
    <hyperlink ref="P89" r:id="rId175" xr:uid="{00000000-0004-0000-0100-0000AE000000}"/>
    <hyperlink ref="K90" r:id="rId176" xr:uid="{00000000-0004-0000-0100-0000AF000000}"/>
    <hyperlink ref="P90" r:id="rId177" xr:uid="{00000000-0004-0000-0100-0000B0000000}"/>
    <hyperlink ref="K91" r:id="rId178" xr:uid="{00000000-0004-0000-0100-0000B1000000}"/>
    <hyperlink ref="P91" r:id="rId179" xr:uid="{00000000-0004-0000-0100-0000B2000000}"/>
    <hyperlink ref="K92" r:id="rId180" xr:uid="{00000000-0004-0000-0100-0000B3000000}"/>
    <hyperlink ref="P92" r:id="rId181" xr:uid="{00000000-0004-0000-0100-0000B4000000}"/>
    <hyperlink ref="K93" r:id="rId182" xr:uid="{00000000-0004-0000-0100-0000B5000000}"/>
    <hyperlink ref="P93" r:id="rId183" xr:uid="{00000000-0004-0000-0100-0000B6000000}"/>
    <hyperlink ref="K94" r:id="rId184" xr:uid="{00000000-0004-0000-0100-0000B7000000}"/>
    <hyperlink ref="P94" r:id="rId185" xr:uid="{00000000-0004-0000-0100-0000B8000000}"/>
    <hyperlink ref="K95" r:id="rId186" xr:uid="{00000000-0004-0000-0100-0000B9000000}"/>
    <hyperlink ref="P95" r:id="rId187" xr:uid="{00000000-0004-0000-0100-0000BA000000}"/>
    <hyperlink ref="K96" r:id="rId188" xr:uid="{00000000-0004-0000-0100-0000BB000000}"/>
    <hyperlink ref="P96" r:id="rId189" xr:uid="{00000000-0004-0000-0100-0000BC000000}"/>
    <hyperlink ref="K97" r:id="rId190" xr:uid="{00000000-0004-0000-0100-0000BD000000}"/>
    <hyperlink ref="P97" r:id="rId191" xr:uid="{00000000-0004-0000-0100-0000BE000000}"/>
    <hyperlink ref="K98" r:id="rId192" xr:uid="{00000000-0004-0000-0100-0000BF000000}"/>
    <hyperlink ref="P98" r:id="rId193" xr:uid="{00000000-0004-0000-0100-0000C0000000}"/>
    <hyperlink ref="K99" r:id="rId194" xr:uid="{00000000-0004-0000-0100-0000C1000000}"/>
    <hyperlink ref="P99" r:id="rId195" xr:uid="{00000000-0004-0000-0100-0000C2000000}"/>
    <hyperlink ref="K100" r:id="rId196" xr:uid="{00000000-0004-0000-0100-0000C3000000}"/>
    <hyperlink ref="P100" r:id="rId197" xr:uid="{00000000-0004-0000-0100-0000C4000000}"/>
    <hyperlink ref="K101" r:id="rId198" xr:uid="{00000000-0004-0000-0100-0000C5000000}"/>
    <hyperlink ref="P101" r:id="rId199" xr:uid="{00000000-0004-0000-0100-0000C6000000}"/>
    <hyperlink ref="K102" r:id="rId200" xr:uid="{00000000-0004-0000-0100-0000C7000000}"/>
    <hyperlink ref="P102" r:id="rId201" xr:uid="{00000000-0004-0000-0100-0000C8000000}"/>
    <hyperlink ref="K103" r:id="rId202" xr:uid="{00000000-0004-0000-0100-0000C9000000}"/>
    <hyperlink ref="P103" r:id="rId203" xr:uid="{00000000-0004-0000-0100-0000CA000000}"/>
    <hyperlink ref="K104" r:id="rId204" xr:uid="{00000000-0004-0000-0100-0000CB000000}"/>
    <hyperlink ref="P104" r:id="rId205" xr:uid="{00000000-0004-0000-0100-0000CC000000}"/>
    <hyperlink ref="K105" r:id="rId206" xr:uid="{00000000-0004-0000-0100-0000CD000000}"/>
    <hyperlink ref="P105" r:id="rId207" xr:uid="{00000000-0004-0000-0100-0000CE000000}"/>
    <hyperlink ref="K106" r:id="rId208" xr:uid="{00000000-0004-0000-0100-0000CF000000}"/>
    <hyperlink ref="P106" r:id="rId209" xr:uid="{00000000-0004-0000-0100-0000D0000000}"/>
    <hyperlink ref="K107" r:id="rId210" xr:uid="{00000000-0004-0000-0100-0000D1000000}"/>
    <hyperlink ref="P107" r:id="rId211" xr:uid="{00000000-0004-0000-0100-0000D2000000}"/>
    <hyperlink ref="K108" r:id="rId212" xr:uid="{00000000-0004-0000-0100-0000D3000000}"/>
    <hyperlink ref="P108" r:id="rId213" xr:uid="{00000000-0004-0000-0100-0000D4000000}"/>
    <hyperlink ref="K109" r:id="rId214" xr:uid="{00000000-0004-0000-0100-0000D5000000}"/>
    <hyperlink ref="P109" r:id="rId215" xr:uid="{00000000-0004-0000-0100-0000D6000000}"/>
    <hyperlink ref="K110" r:id="rId216" xr:uid="{00000000-0004-0000-0100-0000D7000000}"/>
    <hyperlink ref="P110" r:id="rId217" xr:uid="{00000000-0004-0000-0100-0000D8000000}"/>
    <hyperlink ref="K111" r:id="rId218" xr:uid="{00000000-0004-0000-0100-0000D9000000}"/>
    <hyperlink ref="P111" r:id="rId219" xr:uid="{00000000-0004-0000-0100-0000DA000000}"/>
    <hyperlink ref="K112" r:id="rId220" xr:uid="{00000000-0004-0000-0100-0000DB000000}"/>
    <hyperlink ref="P112" r:id="rId221" xr:uid="{00000000-0004-0000-0100-0000DC000000}"/>
    <hyperlink ref="K113" r:id="rId222" xr:uid="{00000000-0004-0000-0100-0000DD000000}"/>
    <hyperlink ref="P113" r:id="rId223" xr:uid="{00000000-0004-0000-0100-0000DE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Kirby Vallespin</cp:lastModifiedBy>
  <dcterms:created xsi:type="dcterms:W3CDTF">2026-10-30T15:28:09Z</dcterms:created>
  <dcterms:modified xsi:type="dcterms:W3CDTF">2026-10-30T23:34:24Z</dcterms:modified>
</cp:coreProperties>
</file>